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硬件参数" sheetId="2" r:id="rId6"/>
    <sheet name="DeepSeek-V3.2-910C" sheetId="3" r:id="rId7"/>
    <sheet name="GLM5-MI308X" sheetId="4" r:id="rId8"/>
    <sheet name="Kimi-K2.5-MI308X" sheetId="5" r:id="rId9"/>
    <sheet name="DeepSeek-V3.2-910C modify" sheetId="6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tc={272EFD63-DEB9-4D3E-87F2-BF1A3B259251}</author>
  </authors>
  <commentList>
    <comment ref="U21" authorId="0" shapeId="0" xr:uid="{272EFD63-DEB9-4D3E-87F2-BF1A3B259251}">
      <text>
        <t>[Threaded comment] Your version of Excel allows you to read this threaded comment; however, any edits to it will get removed if the file is opened in a newer version of Excel. Learn more: https://go.microsoft.com/fwlink/?linkid=870924 Comment: 这里moe还是bound在访存，如果还想提升吞吐，就得降低这个访存时间。感觉ep64的话，访存就会变成217/8=27，这样和计算延时就比较接近了。
然后现在mla做的是tp，所以每个rank上都是冗余的cache，也会限制你们的batch size。这个就得改成dp。 Reply: 你们可以算下dpep的性能呢，看看最大能打到最大的batch size。这个值是依赖你的kv cache能放下多少个请求来决定。
输入长度：51200，可以拿这个算下理论上限的batch size？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<sst xmlns="http://schemas.openxmlformats.org/spreadsheetml/2006/main" count="1" uniqueCount="1">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</sst>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0.00"/>
    <numFmt numFmtId="165" formatCode="0.00"/>
    <numFmt numFmtId="166" formatCode="0.00"/>
    <numFmt numFmtId="167" formatCode="0_);(0)"/>
    <numFmt numFmtId="168" formatCode="0.0%"/>
    <numFmt numFmtId="169" formatCode="0.0"/>
    <numFmt numFmtId="170" formatCode="0.0"/>
    <numFmt numFmtId="171" formatCode="0.00_);(0.00)"/>
    <numFmt numFmtId="172" formatCode="0.00_);(0.00)"/>
    <numFmt numFmtId="173" formatCode="#,##0.00"/>
    <numFmt numFmtId="174" formatCode="0.0"/>
    <numFmt numFmtId="175" formatCode="0.0"/>
    <numFmt numFmtId="176" formatCode="0.00"/>
    <numFmt numFmtId="177" formatCode="0.00"/>
    <numFmt numFmtId="178" formatCode="0.00"/>
    <numFmt numFmtId="179" formatCode="0.00"/>
    <numFmt numFmtId="180" formatCode="0.00"/>
    <numFmt numFmtId="181" formatCode="0.00"/>
  </numFmts>
  <fonts count="7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133C9A"/>
        <bgColor/>
      </patternFill>
    </fill>
    <fill>
      <patternFill patternType="solid">
        <fgColor rgb="FFFFF258"/>
        <bgColor/>
      </patternFill>
    </fill>
    <fill>
      <patternFill patternType="solid">
        <fgColor rgb="FF133C9A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D9F3FD"/>
        <bgColor/>
      </patternFill>
    </fill>
    <fill>
      <patternFill patternType="solid">
        <fgColor rgb="FFDEE0E3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D5F6F2"/>
        <bgColor/>
      </patternFill>
    </fill>
    <fill>
      <patternFill patternType="solid">
        <fgColor rgb="FFEEF6C6"/>
        <bgColor/>
      </patternFill>
    </fill>
    <fill>
      <patternFill patternType="solid">
        <fgColor rgb="FFD9F3FD"/>
        <bgColor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6" fillId="3" fontId="2" numFmtId="0" xfId="0">
      <alignment horizontal="center" vertical="bottom"/>
    </xf>
    <xf applyAlignment="true" applyBorder="false" applyFill="true" applyFont="true" applyNumberFormat="false" applyProtection="false" borderId="7" fillId="4" fontId="3" numFmtId="0" xfId="0">
      <alignment horizontal="center" vertical="bottom"/>
    </xf>
    <xf applyAlignment="true" applyBorder="false" applyFill="true" applyFont="true" applyNumberFormat="false" applyProtection="false" borderId="8" fillId="5" fontId="1" numFmtId="0" xfId="0">
      <alignment horizontal="center" vertical="center"/>
    </xf>
    <xf applyAlignment="true" applyBorder="false" applyFill="false" applyFont="true" applyNumberFormat="false" applyProtection="false" borderId="9" fillId="0" fontId="2" numFmtId="0" xfId="0">
      <alignment horizontal="center" vertical="bottom"/>
    </xf>
    <xf applyAlignment="true" applyBorder="false" applyFill="true" applyFont="true" applyNumberFormat="false" applyProtection="false" borderId="10" fillId="6" fontId="4" numFmtId="0" xfId="0">
      <alignment horizontal="center" vertical="center"/>
    </xf>
    <xf applyAlignment="true" applyBorder="false" applyFill="false" applyFont="true" applyNumberFormat="true" applyProtection="false" borderId="11" fillId="0" fontId="1" numFmtId="164" xfId="0">
      <alignment horizontal="center" vertical="center" wrapText="true"/>
    </xf>
    <xf applyAlignment="true" applyBorder="false" applyFill="false" applyFont="true" applyNumberFormat="true" applyProtection="false" borderId="12" fillId="0" fontId="1" numFmtId="165" xfId="0">
      <alignment horizontal="center" vertical="center"/>
    </xf>
    <xf applyAlignment="true" applyBorder="false" applyFill="false" applyFont="true" applyNumberFormat="true" applyProtection="false" borderId="13" fillId="0" fontId="1" numFmtId="166" xfId="0">
      <alignment vertical="center"/>
    </xf>
    <xf applyAlignment="true" applyBorder="false" applyFill="false" applyFont="true" applyNumberFormat="true" applyProtection="false" borderId="14" fillId="0" fontId="1" numFmtId="167" xfId="0">
      <alignment horizontal="center" vertical="bottom"/>
    </xf>
    <xf applyAlignment="true" applyBorder="false" applyFill="false" applyFont="true" applyNumberFormat="true" applyProtection="false" borderId="15" fillId="0" fontId="1" numFmtId="168" xfId="0">
      <alignment vertical="center"/>
    </xf>
    <xf applyAlignment="true" applyBorder="false" applyFill="true" applyFont="true" applyNumberFormat="false" applyProtection="false" borderId="16" fillId="7" fontId="1" numFmtId="0" xfId="0">
      <alignment horizontal="left" vertical="center" wrapText="true"/>
    </xf>
    <xf applyAlignment="true" applyBorder="false" applyFill="false" applyFont="true" applyNumberFormat="true" applyProtection="false" borderId="17" fillId="0" fontId="1" numFmtId="169" xfId="0">
      <alignment horizontal="center" vertical="center" wrapText="true"/>
    </xf>
    <xf applyAlignment="true" applyBorder="false" applyFill="false" applyFont="true" applyNumberFormat="false" applyProtection="false" borderId="18" fillId="0" fontId="1" numFmtId="0" xfId="0">
      <alignment vertical="center" wrapText="true"/>
    </xf>
    <xf applyAlignment="true" applyBorder="false" applyFill="false" applyFont="true" applyNumberFormat="true" applyProtection="false" borderId="19" fillId="0" fontId="1" numFmtId="170" xfId="0">
      <alignment vertical="center" wrapText="true"/>
    </xf>
    <xf applyAlignment="true" applyBorder="false" applyFill="true" applyFont="true" applyNumberFormat="false" applyProtection="false" borderId="20" fillId="8" fontId="1" numFmtId="0" xfId="0">
      <alignment horizontal="center" vertical="center" wrapText="true"/>
    </xf>
    <xf applyAlignment="true" applyBorder="false" applyFill="true" applyFont="true" applyNumberFormat="false" applyProtection="false" borderId="21" fillId="9" fontId="1" numFmtId="0" xfId="0">
      <alignment horizontal="left" vertical="center"/>
    </xf>
    <xf applyAlignment="true" applyBorder="false" applyFill="false" applyFont="true" applyNumberFormat="true" applyProtection="false" borderId="22" fillId="0" fontId="1" numFmtId="171" xfId="0">
      <alignment horizontal="center" vertical="center"/>
    </xf>
    <xf applyAlignment="true" applyBorder="false" applyFill="false" applyFont="true" applyNumberFormat="true" applyProtection="false" borderId="23" fillId="0" fontId="1" numFmtId="172" xfId="0">
      <alignment horizontal="center" vertical="center" wrapText="true"/>
    </xf>
    <xf applyAlignment="true" applyBorder="false" applyFill="true" applyFont="true" applyNumberFormat="false" applyProtection="false" borderId="24" fillId="10" fontId="1" numFmtId="0" xfId="0">
      <alignment horizontal="center" vertical="center"/>
    </xf>
    <xf applyAlignment="true" applyBorder="false" applyFill="true" applyFont="true" applyNumberFormat="false" applyProtection="false" borderId="25" fillId="11" fontId="1" numFmtId="0" xfId="0">
      <alignment horizontal="center" vertical="center"/>
    </xf>
    <xf applyAlignment="true" applyBorder="false" applyFill="true" applyFont="true" applyNumberFormat="false" applyProtection="false" borderId="26" fillId="12" fontId="1" numFmtId="0" xfId="0">
      <alignment horizontal="center" vertical="center" wrapText="true"/>
    </xf>
    <xf applyAlignment="true" applyBorder="false" applyFill="false" applyFont="true" applyNumberFormat="true" applyProtection="false" borderId="27" fillId="0" fontId="1" numFmtId="173" xfId="0">
      <alignment horizontal="center" vertical="center"/>
    </xf>
    <xf applyAlignment="true" applyBorder="false" applyFill="false" applyFont="true" applyNumberFormat="true" applyProtection="false" borderId="28" fillId="0" fontId="1" numFmtId="174" xfId="0">
      <alignment horizontal="center" vertical="center"/>
    </xf>
    <xf applyAlignment="true" applyBorder="false" applyFill="true" applyFont="true" applyNumberFormat="false" applyProtection="false" borderId="29" fillId="13" fontId="5" numFmtId="0" xfId="0">
      <alignment horizontal="center" vertical="center" wrapText="true"/>
    </xf>
    <xf applyAlignment="true" applyBorder="false" applyFill="true" applyFont="true" applyNumberFormat="true" applyProtection="false" borderId="30" fillId="14" fontId="1" numFmtId="175" xfId="0">
      <alignment horizontal="center" vertical="center" wrapText="true"/>
    </xf>
    <xf applyAlignment="true" applyBorder="false" applyFill="false" applyFont="true" applyNumberFormat="false" applyProtection="false" borderId="31" fillId="0" fontId="5" numFmtId="0" xfId="0">
      <alignment horizontal="center" vertical="center" wrapText="true"/>
    </xf>
    <xf applyAlignment="true" applyBorder="false" applyFill="true" applyFont="true" applyNumberFormat="true" applyProtection="false" borderId="32" fillId="15" fontId="1" numFmtId="176" xfId="0">
      <alignment horizontal="center" vertical="center"/>
    </xf>
    <xf applyAlignment="true" applyBorder="false" applyFill="true" applyFont="true" applyNumberFormat="true" applyProtection="false" borderId="33" fillId="16" fontId="5" numFmtId="177" xfId="0">
      <alignment horizontal="center" vertical="center"/>
    </xf>
    <xf applyAlignment="true" applyBorder="false" applyFill="true" applyFont="true" applyNumberFormat="true" applyProtection="false" borderId="34" fillId="17" fontId="1" numFmtId="178" xfId="0">
      <alignment horizontal="center" vertical="center"/>
    </xf>
    <xf applyAlignment="true" applyBorder="false" applyFill="false" applyFont="true" applyNumberFormat="true" applyProtection="false" borderId="35" fillId="0" fontId="5" numFmtId="179" xfId="0">
      <alignment horizontal="center" vertical="center"/>
    </xf>
    <xf applyAlignment="true" applyBorder="false" applyFill="false" applyFont="true" applyNumberFormat="true" applyProtection="false" borderId="36" fillId="0" fontId="6" numFmtId="180" xfId="0">
      <alignment horizontal="center" vertical="center"/>
    </xf>
    <xf applyAlignment="true" applyBorder="false" applyFill="true" applyFont="true" applyNumberFormat="false" applyProtection="false" borderId="37" fillId="18" fontId="1" numFmtId="0" xfId="0">
      <alignment horizontal="center" vertical="center"/>
    </xf>
    <xf applyAlignment="true" applyBorder="false" applyFill="true" applyFont="true" applyNumberFormat="false" applyProtection="false" borderId="38" fillId="19" fontId="1" numFmtId="0" xfId="0">
      <alignment vertical="center"/>
    </xf>
    <xf applyAlignment="true" applyBorder="false" applyFill="true" applyFont="true" applyNumberFormat="true" applyProtection="false" borderId="39" fillId="20" fontId="1" numFmtId="181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何畅浩" id="{B9E4640B-9789-45D6-B652-2AE76945AE26}" userId="S::changhaohe@bytedance.com::59b42994-ba4e-4562-a509-c74332ded10e" providerId="AD"/>
  <person displayName="陈韬宇" id="{71C90C16-7546-4803-BDAB-87A28AE5615F}" userId="S::chentaoyu.0@bytedance.com::eff77951-b5ae-4822-b58a-29f1637c74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272EFD63-DEB9-4D3E-87F2-BF1A3B259251}" ref="U21" dT="2026-03-24T08:11:18" personId="{B9E4640B-9789-45D6-B652-2AE76945AE26}" parentId="{}">
    <text>这里moe还是bound在访存，如果还想提升吞吐，就得降低这个访存时间。感觉ep64的话，访存就会变成217/8=27，这样和计算延时就比较接近了。
然后现在mla做的是tp，所以每个rank上都是冗余的cache，也会限制你们的batch size。这个就得改成dp。</text>
  </threadedComment>
  <threadedComment id="{f8fb9a6c-dc1c-4b98-88fe-5136d4af1e9a}" ref="U21" dT="2026-03-24T08:20:45" personId="{B9E4640B-9789-45D6-B652-2AE76945AE26}" parentId="{272EFD63-DEB9-4D3E-87F2-BF1A3B259251}">
    <text>你们可以算下dpep的性能呢，看看最大能打到最大的batch size。这个值是依赖你的kv cache能放下多少个请求来决定。
输入长度：51200，可以拿这个算下理论上限的batch size？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1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</cols>
  <sheetData>
    <row r="1">
      <c r="A1" s="7" t="str">
        <v>硬件规格(带*为估计值)</v>
      </c>
      <c r="B1" s="7" t="str">
        <v>H200 SXM 8卡</v>
      </c>
      <c r="C1" s="7" t="str">
        <v>H100 SXM 8卡</v>
      </c>
      <c r="D1" s="7" t="str">
        <v>H20 8卡</v>
      </c>
      <c r="E1" s="7" t="str">
        <v>FF36 8卡</v>
      </c>
      <c r="F1" s="7" t="str">
        <v>FF36D 8卡</v>
      </c>
      <c r="G1" s="7" t="str">
        <v>FF40 8卡</v>
      </c>
      <c r="H1" s="7" t="str">
        <v>FF45 8卡</v>
      </c>
      <c r="I1" s="7" t="str">
        <v>FF45D 8卡</v>
      </c>
      <c r="J1" s="7" t="str">
        <v>B300 8卡</v>
      </c>
      <c r="K1" s="7" t="str">
        <v>B200 8卡</v>
      </c>
      <c r="L1" s="7" t="str">
        <v>GB300 NVL72</v>
      </c>
      <c r="M1" s="7" t="str">
        <v>GB200 NVL72</v>
      </c>
      <c r="N1" s="7" t="str">
        <v>RTX 6000 Pro 600w</v>
      </c>
      <c r="O1" s="7" t="str">
        <v>MI 308X 80CU</v>
      </c>
      <c r="P1" s="7" t="str">
        <v>MI 308XHF 64CU</v>
      </c>
      <c r="Q1" s="7" t="str">
        <v>MI300X(304CU)</v>
      </c>
      <c r="R1" s="7" t="str">
        <v>MI325X(304CU)</v>
      </c>
      <c r="S1" s="7" t="str">
        <v>MI355X</v>
      </c>
      <c r="T1" s="7" t="str">
        <v>910B</v>
      </c>
      <c r="U1" s="7" t="str">
        <v>910C</v>
      </c>
      <c r="V1" s="7" t="str">
        <v>*950DT</v>
      </c>
      <c r="W1" s="7" t="str">
        <v>910C-By Die</v>
      </c>
      <c r="X1" s="7" t="str">
        <v>*阿里 PPU</v>
      </c>
    </row>
    <row r="2">
      <c r="A2" s="7" t="str">
        <v>BFLOAT16 Tensor Core with FP32 ACC (TFLOPS)</v>
      </c>
      <c r="B2" s="8">
        <v>989.4</v>
      </c>
      <c r="C2" s="5">
        <v>989.4</v>
      </c>
      <c r="D2" s="6">
        <v>148</v>
      </c>
      <c r="E2" s="5">
        <v>165.2</v>
      </c>
      <c r="F2" s="5">
        <v>147.13</v>
      </c>
      <c r="G2" s="5">
        <v>112.6</v>
      </c>
      <c r="H2" s="5">
        <v>209.5</v>
      </c>
      <c r="I2" s="5">
        <v>148.44</v>
      </c>
      <c r="J2" s="5">
        <v>2200</v>
      </c>
      <c r="K2" s="8">
        <v>2200</v>
      </c>
      <c r="L2" s="5">
        <v>2500</v>
      </c>
      <c r="M2" s="5">
        <v>2500</v>
      </c>
      <c r="N2" s="8">
        <v>503.8</v>
      </c>
      <c r="O2" s="8">
        <v>173</v>
      </c>
      <c r="P2" s="5">
        <v>215</v>
      </c>
      <c r="Q2" s="5">
        <v>1300</v>
      </c>
      <c r="R2" s="5">
        <v>1300</v>
      </c>
      <c r="S2" s="5">
        <v>2500</v>
      </c>
      <c r="T2" s="5">
        <v>376</v>
      </c>
      <c r="U2" s="5">
        <v>752</v>
      </c>
      <c r="V2" s="5">
        <v>500</v>
      </c>
      <c r="W2" s="5">
        <v>376</v>
      </c>
      <c r="X2" s="5">
        <v>400</v>
      </c>
    </row>
    <row r="3">
      <c r="A3" s="7" t="str">
        <v>FP8 Tensor Core with FP16 ACC (TFLOPS)</v>
      </c>
      <c r="B3" s="8">
        <v>1978.9</v>
      </c>
      <c r="C3" s="5">
        <v>1978.9</v>
      </c>
      <c r="D3" s="6">
        <v>296</v>
      </c>
      <c r="E3" s="5">
        <v>660.6</v>
      </c>
      <c r="F3" s="5">
        <v>588.3</v>
      </c>
      <c r="G3" s="5">
        <v>450.2</v>
      </c>
      <c r="H3" s="5">
        <v>838</v>
      </c>
      <c r="I3" s="5">
        <v>593.75</v>
      </c>
      <c r="J3" s="5">
        <v>4500</v>
      </c>
      <c r="K3" s="8">
        <v>4500</v>
      </c>
      <c r="L3" s="5">
        <v>5000</v>
      </c>
      <c r="M3" s="5">
        <v>5000</v>
      </c>
      <c r="N3" s="8">
        <v>1007.6</v>
      </c>
      <c r="O3" s="8">
        <v>417</v>
      </c>
      <c r="P3" s="5">
        <v>442</v>
      </c>
      <c r="Q3" s="5">
        <v>2610</v>
      </c>
      <c r="R3" s="5">
        <v>2610</v>
      </c>
      <c r="S3" s="5">
        <v>5000</v>
      </c>
      <c r="T3" s="5">
        <v>0</v>
      </c>
      <c r="U3" s="5">
        <v>0</v>
      </c>
      <c r="V3" s="5">
        <v>1000</v>
      </c>
      <c r="W3" s="5">
        <v>0</v>
      </c>
      <c r="X3" s="5">
        <v>800</v>
      </c>
    </row>
    <row r="4">
      <c r="A4" s="7" t="str">
        <v>FP8 Tensor Core with FP32 ACC (TFLOPS)</v>
      </c>
      <c r="B4" s="8">
        <v>1978.9</v>
      </c>
      <c r="C4" s="5">
        <v>1978.9</v>
      </c>
      <c r="D4" s="6">
        <v>296</v>
      </c>
      <c r="E4" s="5">
        <v>330.3</v>
      </c>
      <c r="F4" s="5">
        <v>294.17</v>
      </c>
      <c r="G4" s="5">
        <v>225.1</v>
      </c>
      <c r="H4" s="5">
        <v>419</v>
      </c>
      <c r="I4" s="5">
        <v>296.88</v>
      </c>
      <c r="J4" s="5">
        <v>4500</v>
      </c>
      <c r="K4" s="8">
        <v>4500</v>
      </c>
      <c r="L4" s="5">
        <v>5000</v>
      </c>
      <c r="M4" s="5">
        <v>5000</v>
      </c>
      <c r="N4" s="8">
        <v>1007.6</v>
      </c>
      <c r="O4" s="8">
        <v>417</v>
      </c>
      <c r="P4" s="5">
        <v>442</v>
      </c>
      <c r="Q4" s="5">
        <v>2610</v>
      </c>
      <c r="R4" s="5">
        <v>2610</v>
      </c>
      <c r="S4" s="5">
        <v>5000</v>
      </c>
      <c r="T4" s="5">
        <v>0</v>
      </c>
      <c r="U4" s="5">
        <v>0</v>
      </c>
      <c r="V4" s="5">
        <v>1000</v>
      </c>
      <c r="W4" s="5">
        <v>0</v>
      </c>
      <c r="X4" s="5">
        <v>800</v>
      </c>
    </row>
    <row r="5">
      <c r="A5" s="7" t="str">
        <v>INT8 Tensor Core (TFLOPS)</v>
      </c>
      <c r="B5" s="8">
        <v>1978.9</v>
      </c>
      <c r="C5" s="5">
        <v>1978.9</v>
      </c>
      <c r="D5" s="6">
        <v>296</v>
      </c>
      <c r="E5" s="5">
        <v>660.6</v>
      </c>
      <c r="F5" s="5">
        <v>588.3</v>
      </c>
      <c r="G5" s="5">
        <v>450.2</v>
      </c>
      <c r="H5" s="5">
        <v>838</v>
      </c>
      <c r="I5" s="5">
        <v>593.75</v>
      </c>
      <c r="J5" s="5">
        <v>150</v>
      </c>
      <c r="K5" s="8">
        <v>4500</v>
      </c>
      <c r="L5" s="5">
        <v>166.6</v>
      </c>
      <c r="M5" s="5">
        <v>5000</v>
      </c>
      <c r="N5" s="8">
        <v>1007.6</v>
      </c>
      <c r="O5" s="8">
        <v>429</v>
      </c>
      <c r="P5" s="5">
        <v>437</v>
      </c>
      <c r="Q5" s="5">
        <v>2600</v>
      </c>
      <c r="R5" s="5">
        <v>2600</v>
      </c>
      <c r="S5" s="5">
        <v>5000</v>
      </c>
      <c r="T5" s="5">
        <v>752</v>
      </c>
      <c r="U5" s="5">
        <v>1504</v>
      </c>
      <c r="V5" s="5">
        <v>1000</v>
      </c>
      <c r="W5" s="5">
        <v>752</v>
      </c>
      <c r="X5" s="5">
        <v>800</v>
      </c>
    </row>
    <row r="6">
      <c r="A6" s="7" t="str">
        <v>FP4 Tensor Core (TFLOPS)</v>
      </c>
      <c r="B6" s="6">
        <v>0</v>
      </c>
      <c r="C6" s="5">
        <v>0</v>
      </c>
      <c r="D6" s="6">
        <v>0</v>
      </c>
      <c r="E6" s="5">
        <v>0</v>
      </c>
      <c r="F6" s="5">
        <v>0</v>
      </c>
      <c r="G6" s="5">
        <v>900.4</v>
      </c>
      <c r="H6" s="5">
        <v>1676</v>
      </c>
      <c r="I6" s="5">
        <v>1187.5</v>
      </c>
      <c r="J6" s="5">
        <v>14000</v>
      </c>
      <c r="K6" s="8">
        <v>9000</v>
      </c>
      <c r="L6" s="5">
        <v>15000</v>
      </c>
      <c r="M6" s="5">
        <v>10000</v>
      </c>
      <c r="N6" s="8">
        <v>2015.2</v>
      </c>
      <c r="O6" s="8">
        <v>0</v>
      </c>
      <c r="P6" s="5">
        <v>0</v>
      </c>
      <c r="Q6" s="5">
        <v>0</v>
      </c>
      <c r="R6" s="5">
        <v>0</v>
      </c>
      <c r="S6" s="5">
        <v>10000</v>
      </c>
      <c r="T6" s="5">
        <v>0</v>
      </c>
      <c r="U6" s="5">
        <v>0</v>
      </c>
      <c r="V6" s="5">
        <v>2000</v>
      </c>
      <c r="W6" s="5">
        <v>0</v>
      </c>
      <c r="X6" s="5">
        <v>0</v>
      </c>
    </row>
    <row r="7">
      <c r="A7" s="7" t="str">
        <v>FP8 GEMM 参考 SOL</v>
      </c>
      <c r="B7" s="8"/>
      <c r="C7" s="5"/>
      <c r="D7" s="6"/>
      <c r="E7" s="5"/>
      <c r="F7" s="5"/>
      <c r="G7" s="5"/>
      <c r="H7" s="5"/>
      <c r="I7" s="5"/>
      <c r="J7" s="5"/>
      <c r="K7" s="8"/>
      <c r="L7" s="5"/>
      <c r="M7" s="5"/>
      <c r="N7" s="8"/>
      <c r="O7" s="8"/>
      <c r="P7" s="5"/>
      <c r="Q7" s="5"/>
      <c r="R7" s="5"/>
      <c r="S7" s="5"/>
      <c r="T7" s="5"/>
      <c r="U7" s="5"/>
      <c r="V7" s="5"/>
      <c r="W7" s="5"/>
      <c r="X7" s="5"/>
    </row>
    <row r="8">
      <c r="A8" s="7" t="str">
        <v>FP4 GEMM 参考 SOL</v>
      </c>
      <c r="B8" s="6"/>
      <c r="C8" s="5"/>
      <c r="D8" s="6"/>
      <c r="E8" s="5"/>
      <c r="F8" s="5"/>
      <c r="G8" s="5"/>
      <c r="H8" s="5"/>
      <c r="I8" s="5"/>
      <c r="J8" s="5"/>
      <c r="K8" s="8"/>
      <c r="L8" s="5"/>
      <c r="M8" s="5"/>
      <c r="N8" s="8"/>
      <c r="O8" s="8"/>
      <c r="P8" s="5"/>
      <c r="Q8" s="5"/>
      <c r="R8" s="5"/>
      <c r="S8" s="5"/>
      <c r="T8" s="5"/>
      <c r="U8" s="5"/>
      <c r="V8" s="5"/>
      <c r="W8" s="5"/>
      <c r="X8" s="5"/>
    </row>
    <row r="9">
      <c r="A9" s="7" t="str">
        <v>HBM Type</v>
      </c>
      <c r="B9" s="6" t="str">
        <v>HBM3e</v>
      </c>
      <c r="C9" s="5" t="str">
        <v>HBM3</v>
      </c>
      <c r="D9" s="8" t="str">
        <v>HBM3</v>
      </c>
      <c r="E9" s="9" t="str">
        <v>GDDR6X</v>
      </c>
      <c r="F9" s="5" t="str">
        <v>GDDR6X</v>
      </c>
      <c r="G9" s="5" t="str">
        <v>GDDR7</v>
      </c>
      <c r="H9" s="5" t="str">
        <v>GDDR7</v>
      </c>
      <c r="I9" s="5" t="str">
        <v>GDDR7</v>
      </c>
      <c r="J9" s="5" t="str">
        <v>HBM3e</v>
      </c>
      <c r="K9" s="8" t="str">
        <v>HBM3e</v>
      </c>
      <c r="L9" s="5" t="str">
        <v>HBM3e</v>
      </c>
      <c r="M9" s="5" t="str">
        <v>HBM3e</v>
      </c>
      <c r="N9" s="8" t="str">
        <v>GDDR7</v>
      </c>
      <c r="O9" s="8" t="str">
        <v>HBM3</v>
      </c>
      <c r="P9" s="5" t="str">
        <v>HBM3</v>
      </c>
      <c r="Q9" s="5" t="str">
        <v>HBM3</v>
      </c>
      <c r="R9" s="5" t="str">
        <v>HBM3e</v>
      </c>
      <c r="S9" s="5" t="str">
        <v>HBM3e</v>
      </c>
      <c r="T9" s="5" t="str">
        <v>HBM2e</v>
      </c>
      <c r="U9" s="5" t="str">
        <v>HBM2e</v>
      </c>
      <c r="V9" s="5" t="str">
        <v>HBM3e</v>
      </c>
      <c r="W9" s="5" t="str">
        <v>HBM2e</v>
      </c>
      <c r="X9" s="5" t="str">
        <v>HBM3e</v>
      </c>
    </row>
    <row r="10">
      <c r="A10" s="7" t="str">
        <v>GPU Memory (GB)</v>
      </c>
      <c r="B10" s="6">
        <v>141</v>
      </c>
      <c r="C10" s="5">
        <v>80</v>
      </c>
      <c r="D10" s="6">
        <v>96</v>
      </c>
      <c r="E10" s="9">
        <v>24</v>
      </c>
      <c r="F10" s="5">
        <v>24</v>
      </c>
      <c r="G10" s="5">
        <v>16</v>
      </c>
      <c r="H10" s="5">
        <v>32</v>
      </c>
      <c r="I10" s="5">
        <v>32</v>
      </c>
      <c r="J10" s="5">
        <v>270</v>
      </c>
      <c r="K10" s="8">
        <v>192</v>
      </c>
      <c r="L10" s="5">
        <v>284</v>
      </c>
      <c r="M10" s="5">
        <v>192</v>
      </c>
      <c r="N10" s="8">
        <v>96</v>
      </c>
      <c r="O10" s="8">
        <v>192</v>
      </c>
      <c r="P10" s="5">
        <v>192</v>
      </c>
      <c r="Q10" s="5">
        <v>192</v>
      </c>
      <c r="R10" s="5">
        <v>256</v>
      </c>
      <c r="S10" s="5">
        <v>288</v>
      </c>
      <c r="T10" s="5">
        <v>64</v>
      </c>
      <c r="U10" s="5">
        <v>128</v>
      </c>
      <c r="V10" s="5">
        <v>96</v>
      </c>
      <c r="W10" s="5">
        <v>64</v>
      </c>
      <c r="X10" s="5">
        <v>144</v>
      </c>
    </row>
    <row r="11">
      <c r="A11" s="7" t="str">
        <v>GPU Memory Bandwidth (TB/s)</v>
      </c>
      <c r="B11" s="6">
        <v>4.8</v>
      </c>
      <c r="C11" s="5">
        <v>3.352</v>
      </c>
      <c r="D11" s="6">
        <v>4</v>
      </c>
      <c r="E11" s="9">
        <v>1.008</v>
      </c>
      <c r="F11" s="5">
        <v>1.008</v>
      </c>
      <c r="G11" s="5">
        <v>0.96</v>
      </c>
      <c r="H11" s="5">
        <v>1.792</v>
      </c>
      <c r="I11" s="5">
        <v>1.792</v>
      </c>
      <c r="J11" s="5">
        <v>7.7</v>
      </c>
      <c r="K11" s="8">
        <v>7.7</v>
      </c>
      <c r="L11" s="5">
        <v>8</v>
      </c>
      <c r="M11" s="5">
        <v>8</v>
      </c>
      <c r="N11" s="8">
        <v>1.792</v>
      </c>
      <c r="O11" s="8">
        <v>4.2</v>
      </c>
      <c r="P11" s="5">
        <v>3.9</v>
      </c>
      <c r="Q11" s="5">
        <v>5.3</v>
      </c>
      <c r="R11" s="5">
        <v>6</v>
      </c>
      <c r="S11" s="5">
        <v>8</v>
      </c>
      <c r="T11" s="5">
        <v>1.6</v>
      </c>
      <c r="U11" s="5">
        <v>3.2</v>
      </c>
      <c r="V11" s="5">
        <v>4</v>
      </c>
      <c r="W11" s="5">
        <v>1.6</v>
      </c>
      <c r="X11" s="5">
        <v>4</v>
      </c>
    </row>
    <row r="12">
      <c r="A12" s="7" t="str">
        <v>Intra-Node bi-direction Interconnect (GB/s)</v>
      </c>
      <c r="B12" s="6">
        <v>900</v>
      </c>
      <c r="C12" s="5">
        <v>900</v>
      </c>
      <c r="D12" s="6">
        <v>900</v>
      </c>
      <c r="E12" s="9">
        <v>64</v>
      </c>
      <c r="F12" s="5">
        <v>64</v>
      </c>
      <c r="G12" s="5">
        <v>128</v>
      </c>
      <c r="H12" s="5">
        <v>128</v>
      </c>
      <c r="I12" s="5">
        <v>128</v>
      </c>
      <c r="J12" s="5">
        <v>1800</v>
      </c>
      <c r="K12" s="8">
        <v>1800</v>
      </c>
      <c r="L12" s="5">
        <v>1800</v>
      </c>
      <c r="M12" s="5">
        <v>1800</v>
      </c>
      <c r="N12" s="8">
        <v>100</v>
      </c>
      <c r="O12" s="8">
        <v>896</v>
      </c>
      <c r="P12" s="5">
        <v>896</v>
      </c>
      <c r="Q12" s="5">
        <v>896</v>
      </c>
      <c r="R12" s="5">
        <v>896</v>
      </c>
      <c r="S12" s="5">
        <v>1075</v>
      </c>
      <c r="T12" s="5">
        <v>64</v>
      </c>
      <c r="U12" s="5">
        <v>784</v>
      </c>
      <c r="V12" s="5">
        <v>900</v>
      </c>
      <c r="W12" s="5">
        <v>392</v>
      </c>
      <c r="X12" s="5">
        <v>400</v>
      </c>
    </row>
    <row r="13">
      <c r="A13" s="7" t="str">
        <v>机内互联方式</v>
      </c>
      <c r="B13" s="6" t="str">
        <v>NVLink Gen4</v>
      </c>
      <c r="C13" s="5" t="str">
        <v>NVLink Gen4</v>
      </c>
      <c r="D13" s="6" t="str">
        <v>NVLink Gen4</v>
      </c>
      <c r="E13" s="9" t="str">
        <v>PCIE</v>
      </c>
      <c r="F13" s="5" t="str">
        <v>PCIE</v>
      </c>
      <c r="G13" s="5" t="str">
        <v>PCIE</v>
      </c>
      <c r="H13" s="5" t="str">
        <v>PCIE</v>
      </c>
      <c r="I13" s="5" t="str">
        <v>PCIE</v>
      </c>
      <c r="J13" s="9" t="str">
        <v>NVLink Gen5</v>
      </c>
      <c r="K13" s="6" t="str">
        <v>NVLink Gen5</v>
      </c>
      <c r="L13" s="5" t="str">
        <v>NVL72</v>
      </c>
      <c r="M13" s="5" t="str">
        <v>NVL72</v>
      </c>
      <c r="N13" s="8" t="str">
        <v>RNIC</v>
      </c>
      <c r="O13" s="8" t="str" xml:space="preserve">
        <v> Infinity Fabric Links</v>
      </c>
      <c r="P13" s="5" t="str" xml:space="preserve">
        <v> Infinity Fabric Links</v>
      </c>
      <c r="Q13" s="5" t="str" xml:space="preserve">
        <v> Infinity Fabric Links</v>
      </c>
      <c r="R13" s="5" t="str" xml:space="preserve">
        <v> Infinity Fabric Links</v>
      </c>
      <c r="S13" s="5" t="str" xml:space="preserve">
        <v> Infinity Fabric Links</v>
      </c>
      <c r="T13" s="5" t="str">
        <v>PCIE</v>
      </c>
      <c r="U13" s="5" t="str">
        <v>HCCS</v>
      </c>
      <c r="V13" s="5" t="str">
        <v>HCCS</v>
      </c>
      <c r="W13" s="5" t="str">
        <v>HCCS</v>
      </c>
      <c r="X13" s="5" t="str">
        <v>未知</v>
      </c>
    </row>
    <row r="14">
      <c r="A14" s="7" t="str">
        <v>Inter-Node bi-direction Interconnect (GB/s)</v>
      </c>
      <c r="B14" s="6">
        <v>100</v>
      </c>
      <c r="C14" s="5">
        <v>100</v>
      </c>
      <c r="D14" s="6">
        <v>100</v>
      </c>
      <c r="E14" s="9">
        <v>12.5</v>
      </c>
      <c r="F14" s="5">
        <v>12.5</v>
      </c>
      <c r="G14" s="5">
        <v>100</v>
      </c>
      <c r="H14" s="5">
        <v>100</v>
      </c>
      <c r="I14" s="5">
        <v>100</v>
      </c>
      <c r="J14" s="5">
        <v>200</v>
      </c>
      <c r="K14" s="8">
        <v>100</v>
      </c>
      <c r="L14" s="5">
        <v>200</v>
      </c>
      <c r="M14" s="5">
        <v>100</v>
      </c>
      <c r="N14" s="8">
        <v>100</v>
      </c>
      <c r="O14" s="8">
        <v>100</v>
      </c>
      <c r="P14" s="5">
        <v>100</v>
      </c>
      <c r="Q14" s="5">
        <v>100</v>
      </c>
      <c r="R14" s="5">
        <v>100</v>
      </c>
      <c r="S14" s="5">
        <v>100</v>
      </c>
      <c r="T14" s="5">
        <v>50</v>
      </c>
      <c r="U14" s="5">
        <v>784</v>
      </c>
      <c r="V14" s="5">
        <v>900</v>
      </c>
      <c r="W14" s="5">
        <v>392</v>
      </c>
      <c r="X14" s="5">
        <v>100</v>
      </c>
    </row>
    <row r="15">
      <c r="A15" s="10" t="str">
        <v>机间互联方式</v>
      </c>
      <c r="B15" s="8" t="str">
        <v>RNIC</v>
      </c>
      <c r="C15" s="5" t="str">
        <v>RNIC</v>
      </c>
      <c r="D15" s="8" t="str">
        <v>RNIC</v>
      </c>
      <c r="E15" s="5" t="str">
        <v>VPC</v>
      </c>
      <c r="F15" s="5" t="str">
        <v>VPC</v>
      </c>
      <c r="G15" s="5" t="str">
        <v>RNIC</v>
      </c>
      <c r="H15" s="5" t="str">
        <v>RNIC</v>
      </c>
      <c r="I15" s="5" t="str">
        <v>RNIC</v>
      </c>
      <c r="J15" s="5" t="str">
        <v>RNIC</v>
      </c>
      <c r="K15" s="8" t="str">
        <v>RNIC</v>
      </c>
      <c r="L15" s="5" t="str">
        <v>RNIC</v>
      </c>
      <c r="M15" s="5" t="str">
        <v>RNIC</v>
      </c>
      <c r="N15" s="8" t="str">
        <v>RNIC</v>
      </c>
      <c r="O15" s="8" t="str">
        <v>RNIC</v>
      </c>
      <c r="P15" s="5" t="str">
        <v>RNIC</v>
      </c>
      <c r="Q15" s="5" t="str">
        <v>RNIC</v>
      </c>
      <c r="R15" s="5" t="str">
        <v>RNIC</v>
      </c>
      <c r="S15" s="5" t="str">
        <v>RNIC</v>
      </c>
      <c r="T15" s="5" t="str">
        <v>RNIC</v>
      </c>
      <c r="U15" s="5" t="str">
        <v>HCCS</v>
      </c>
      <c r="V15" s="5" t="str">
        <v>HCCS</v>
      </c>
      <c r="W15" s="5" t="str">
        <v>HCCS</v>
      </c>
      <c r="X15" s="5" t="str">
        <v>RNIC</v>
      </c>
    </row>
    <row r="16">
      <c r="A16" s="10" t="str">
        <v>GPUs per Node</v>
      </c>
      <c r="B16" s="8">
        <v>8</v>
      </c>
      <c r="C16" s="5">
        <v>8</v>
      </c>
      <c r="D16" s="8">
        <v>8</v>
      </c>
      <c r="E16" s="5">
        <v>8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8">
        <v>8</v>
      </c>
      <c r="L16" s="5">
        <v>72</v>
      </c>
      <c r="M16" s="5">
        <v>72</v>
      </c>
      <c r="N16" s="8">
        <v>8</v>
      </c>
      <c r="O16" s="8">
        <v>8</v>
      </c>
      <c r="P16" s="5">
        <v>8</v>
      </c>
      <c r="Q16" s="5">
        <v>8</v>
      </c>
      <c r="R16" s="5">
        <v>8</v>
      </c>
      <c r="S16" s="5">
        <v>8</v>
      </c>
      <c r="T16" s="5">
        <v>16</v>
      </c>
      <c r="U16" s="5">
        <v>384</v>
      </c>
      <c r="V16" s="5">
        <v>8</v>
      </c>
      <c r="W16" s="5">
        <v>768</v>
      </c>
      <c r="X16" s="5">
        <v>8</v>
      </c>
    </row>
    <row r="17">
      <c r="A17" s="10" t="str">
        <v>功耗 TDP(W)</v>
      </c>
      <c r="B17" s="8">
        <v>700</v>
      </c>
      <c r="C17" s="5">
        <v>700</v>
      </c>
      <c r="D17" s="8">
        <v>400</v>
      </c>
      <c r="E17" s="5">
        <v>450</v>
      </c>
      <c r="F17" s="5">
        <v>425</v>
      </c>
      <c r="G17" s="5">
        <v>360</v>
      </c>
      <c r="H17" s="5">
        <v>575</v>
      </c>
      <c r="I17" s="5">
        <v>575</v>
      </c>
      <c r="J17" s="5">
        <v>1100</v>
      </c>
      <c r="K17" s="8">
        <v>1000</v>
      </c>
      <c r="L17" s="5">
        <v>1800</v>
      </c>
      <c r="M17" s="5">
        <v>1350</v>
      </c>
      <c r="N17" s="8">
        <v>600</v>
      </c>
      <c r="O17" s="8">
        <v>650</v>
      </c>
      <c r="P17" s="5">
        <v>750</v>
      </c>
      <c r="Q17" s="5">
        <v>750</v>
      </c>
      <c r="R17" s="5">
        <v>1000</v>
      </c>
      <c r="S17" s="5">
        <v>1400</v>
      </c>
      <c r="T17" s="5">
        <v>450</v>
      </c>
      <c r="U17" s="5">
        <v>1050</v>
      </c>
      <c r="V17" s="5">
        <v>1000</v>
      </c>
      <c r="W17" s="5">
        <v>500</v>
      </c>
      <c r="X17" s="5">
        <v>1200</v>
      </c>
    </row>
    <row r="18">
      <c r="A18" s="10" t="str">
        <v>PCIE</v>
      </c>
      <c r="B18" s="8" t="str">
        <v>Gen5</v>
      </c>
      <c r="C18" s="5" t="str">
        <v>Gen5</v>
      </c>
      <c r="D18" s="8" t="str">
        <v>Gen5</v>
      </c>
      <c r="E18" s="5" t="str">
        <v>Gen4</v>
      </c>
      <c r="F18" s="5" t="str">
        <v>Gen4</v>
      </c>
      <c r="G18" s="5" t="str">
        <v>Gen5</v>
      </c>
      <c r="H18" s="5" t="str">
        <v>Gen5</v>
      </c>
      <c r="I18" s="5" t="str">
        <v>Gen5</v>
      </c>
      <c r="J18" s="5" t="str">
        <v>Gen6</v>
      </c>
      <c r="K18" s="8" t="str">
        <v>Gen5</v>
      </c>
      <c r="L18" s="5" t="str">
        <v>Gen6</v>
      </c>
      <c r="M18" s="5" t="str">
        <v>Gen5</v>
      </c>
      <c r="N18" s="8" t="str">
        <v>Gen5</v>
      </c>
      <c r="O18" s="8" t="str">
        <v>Gen5</v>
      </c>
      <c r="P18" s="5" t="str">
        <v>Gen5</v>
      </c>
      <c r="Q18" s="5" t="str">
        <v>Gen5</v>
      </c>
      <c r="R18" s="5" t="str">
        <v>Gen5</v>
      </c>
      <c r="S18" s="5" t="str">
        <v>Gen5</v>
      </c>
      <c r="T18" s="5" t="str">
        <v>Gen5</v>
      </c>
      <c r="U18" s="5" t="str">
        <v>Gen5</v>
      </c>
      <c r="V18" s="5" t="str">
        <v>Gen5</v>
      </c>
      <c r="W18" s="5" t="str">
        <v>Gen5</v>
      </c>
      <c r="X18" s="5" t="str">
        <v>Gen5</v>
      </c>
    </row>
    <row r="19">
      <c r="A19" s="10" t="str">
        <v>Architecture</v>
      </c>
      <c r="B19" s="8" t="str">
        <v>4th Gen TensorCore</v>
      </c>
      <c r="C19" s="5" t="str">
        <v>4th Gen TensorCore</v>
      </c>
      <c r="D19" s="8" t="str">
        <v>4th Gen TensorCore</v>
      </c>
      <c r="E19" s="5" t="str">
        <v>4th Gen TensorCore</v>
      </c>
      <c r="F19" s="5" t="str">
        <v>4th Gen TensorCore</v>
      </c>
      <c r="G19" s="5" t="str">
        <v>5th Gen TensorCore</v>
      </c>
      <c r="H19" s="5" t="str">
        <v>5th Gen TensorCore</v>
      </c>
      <c r="I19" s="5" t="str">
        <v>5th Gen TensorCore</v>
      </c>
      <c r="J19" s="5" t="str">
        <v>5th Gen TensorCore</v>
      </c>
      <c r="K19" s="8" t="str">
        <v>5th Gen TensorCore</v>
      </c>
      <c r="L19" s="5" t="str">
        <v>5th Gen TensorCore</v>
      </c>
      <c r="M19" s="5" t="str">
        <v>5th Gen TensorCore</v>
      </c>
      <c r="N19" s="8" t="str">
        <v>5th Gen TensorCore</v>
      </c>
      <c r="O19" s="8" t="str">
        <v>CDNA3</v>
      </c>
      <c r="P19" s="5" t="str">
        <v>CDNA3</v>
      </c>
      <c r="Q19" s="5" t="str">
        <v>CDNA3</v>
      </c>
      <c r="R19" s="5" t="str">
        <v>CDNA3</v>
      </c>
      <c r="S19" s="5" t="str">
        <v>CDNA4</v>
      </c>
      <c r="T19" s="1">
        <v>910</v>
      </c>
      <c r="U19" s="5">
        <v>910</v>
      </c>
      <c r="V19" s="5">
        <v>950</v>
      </c>
      <c r="W19" s="1">
        <v>910</v>
      </c>
      <c r="X19" s="5" t="str">
        <v>PPU</v>
      </c>
    </row>
    <row r="20">
      <c r="A20" s="7" t="str">
        <v>参考成本(元/卡/天)</v>
      </c>
      <c r="B20" s="8">
        <v>220</v>
      </c>
      <c r="C20" s="5">
        <v>200</v>
      </c>
      <c r="D20" s="8">
        <v>105</v>
      </c>
      <c r="E20" s="5">
        <v>42</v>
      </c>
      <c r="F20" s="5">
        <v>42</v>
      </c>
      <c r="G20" s="5">
        <v>32</v>
      </c>
      <c r="H20" s="5">
        <v>42</v>
      </c>
      <c r="I20" s="5">
        <v>42</v>
      </c>
      <c r="J20" s="5">
        <v>800</v>
      </c>
      <c r="K20" s="8">
        <v>580</v>
      </c>
      <c r="L20" s="5">
        <v>800</v>
      </c>
      <c r="M20" s="5">
        <v>580</v>
      </c>
      <c r="N20" s="8">
        <v>280</v>
      </c>
      <c r="O20" s="8">
        <v>100</v>
      </c>
      <c r="P20" s="5">
        <v>100</v>
      </c>
      <c r="Q20" s="5">
        <v>300</v>
      </c>
      <c r="R20" s="5">
        <v>350</v>
      </c>
      <c r="S20" s="5">
        <v>350</v>
      </c>
      <c r="T20" s="5">
        <v>77</v>
      </c>
      <c r="U20" s="5">
        <v>160</v>
      </c>
      <c r="V20" s="5">
        <v>75</v>
      </c>
      <c r="W20" s="5">
        <v>80</v>
      </c>
      <c r="X20" s="5">
        <v>100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3" t="str">
        <v>H20</v>
      </c>
      <c r="B22" s="1" t="str">
        <v>int8 算力(T)</v>
      </c>
      <c r="C22" s="4">
        <v>296</v>
      </c>
      <c r="D22" s="2"/>
      <c r="E22" s="3" t="str">
        <v>MI308X</v>
      </c>
      <c r="F22" s="1" t="str">
        <v>int8 算力(T)</v>
      </c>
      <c r="G22" s="1">
        <v>429</v>
      </c>
      <c r="H22" s="2"/>
      <c r="I22" s="3" t="str">
        <v>FF40</v>
      </c>
      <c r="J22" s="1" t="str">
        <v>int8 算力(T)</v>
      </c>
      <c r="K22" s="1">
        <v>450.2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3"/>
      <c r="B23" s="1" t="str">
        <v>显存带宽(T)</v>
      </c>
      <c r="C23" s="4">
        <v>4</v>
      </c>
      <c r="D23" s="2"/>
      <c r="E23" s="3"/>
      <c r="F23" s="1" t="str">
        <v>显存带宽(T)</v>
      </c>
      <c r="G23" s="4">
        <v>4.2</v>
      </c>
      <c r="H23" s="2"/>
      <c r="I23" s="3"/>
      <c r="J23" s="1" t="str">
        <v>显存带宽(T)</v>
      </c>
      <c r="K23" s="1">
        <v>0.96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3"/>
      <c r="B24" s="1" t="str">
        <v>ar/ag/rs带宽</v>
      </c>
      <c r="C24" s="4">
        <v>900</v>
      </c>
      <c r="D24" s="2"/>
      <c r="E24" s="3"/>
      <c r="F24" s="1" t="str">
        <v>ar/ag/rs带宽</v>
      </c>
      <c r="G24" s="1">
        <v>448</v>
      </c>
      <c r="H24" s="2"/>
      <c r="I24" s="3"/>
      <c r="J24" s="1" t="str">
        <v>ar/ag/rs带宽</v>
      </c>
      <c r="K24" s="1">
        <v>128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"/>
      <c r="B25" s="1" t="str">
        <v>fp8 算力(T)</v>
      </c>
      <c r="C25" s="4">
        <v>296.9</v>
      </c>
      <c r="D25" s="2"/>
      <c r="E25" s="3"/>
      <c r="F25" s="1" t="str">
        <v>fp8 算力(T)</v>
      </c>
      <c r="G25" s="1">
        <v>417</v>
      </c>
      <c r="H25" s="2"/>
      <c r="I25" s="3"/>
      <c r="J25" s="1" t="str">
        <v>fp8 算力(T)</v>
      </c>
      <c r="K25" s="1">
        <v>450.2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3"/>
      <c r="B26" s="4" t="str">
        <v>all2all带宽(GB)</v>
      </c>
      <c r="C26" s="4">
        <v>900</v>
      </c>
      <c r="D26" s="2"/>
      <c r="E26" s="3"/>
      <c r="F26" s="4" t="str">
        <v>all2all带宽(GB)</v>
      </c>
      <c r="G26" s="1">
        <v>448</v>
      </c>
      <c r="H26" s="2"/>
      <c r="I26" s="3"/>
      <c r="J26" s="4" t="str">
        <v>all2all带宽(GB)</v>
      </c>
      <c r="K26" s="1">
        <v>128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3"/>
      <c r="B27" s="4" t="str">
        <v>bf16算力(T)</v>
      </c>
      <c r="C27" s="4">
        <v>148.4</v>
      </c>
      <c r="D27" s="2"/>
      <c r="E27" s="3"/>
      <c r="F27" s="4" t="str">
        <v>bf16算力(T)</v>
      </c>
      <c r="G27" s="4">
        <v>173</v>
      </c>
      <c r="H27" s="2"/>
      <c r="I27" s="3"/>
      <c r="J27" s="4" t="str">
        <v>bf16算力(T)</v>
      </c>
      <c r="K27" s="1">
        <v>112.6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3"/>
      <c r="B28" s="4" t="str">
        <v>成本(元/Day)</v>
      </c>
      <c r="C28" s="4">
        <v>105</v>
      </c>
      <c r="D28" s="2"/>
      <c r="E28" s="3"/>
      <c r="F28" s="4" t="str">
        <v>成本(元/Day)</v>
      </c>
      <c r="G28" s="4">
        <v>100</v>
      </c>
      <c r="H28" s="2"/>
      <c r="I28" s="3"/>
      <c r="J28" s="4" t="str">
        <v>成本(元/Day)</v>
      </c>
      <c r="K28" s="1">
        <v>32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3" t="str">
        <v>L20</v>
      </c>
      <c r="B30" s="1" t="str">
        <v>int8 算力(T)</v>
      </c>
      <c r="C30" s="4">
        <v>239</v>
      </c>
      <c r="D30" s="2"/>
      <c r="E30" s="3" t="str">
        <v>H200</v>
      </c>
      <c r="F30" s="1" t="str">
        <v>int8 算力(T)</v>
      </c>
      <c r="G30" s="4">
        <v>1979</v>
      </c>
      <c r="H30" s="2"/>
      <c r="I30" s="3" t="str">
        <v>A800</v>
      </c>
      <c r="J30" s="1" t="str">
        <v>int8 算力(T)</v>
      </c>
      <c r="K30" s="1">
        <v>660.6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3"/>
      <c r="B31" s="1" t="str">
        <v>显存带宽(T)</v>
      </c>
      <c r="C31" s="4">
        <v>0.864</v>
      </c>
      <c r="D31" s="2"/>
      <c r="E31" s="3"/>
      <c r="F31" s="1" t="str">
        <v>显存带宽(T)</v>
      </c>
      <c r="G31" s="4">
        <v>4.8</v>
      </c>
      <c r="H31" s="2"/>
      <c r="I31" s="3"/>
      <c r="J31" s="1" t="str">
        <v>显存带宽(T)</v>
      </c>
      <c r="K31" s="1">
        <v>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3"/>
      <c r="B32" s="1" t="str">
        <v>ar/ag/rs带宽</v>
      </c>
      <c r="C32" s="1">
        <v>32</v>
      </c>
      <c r="D32" s="2"/>
      <c r="E32" s="3"/>
      <c r="F32" s="1" t="str">
        <v>ar/ag/rs带宽</v>
      </c>
      <c r="G32" s="4">
        <v>900</v>
      </c>
      <c r="H32" s="2"/>
      <c r="I32" s="3"/>
      <c r="J32" s="1" t="str">
        <v>ar/ag/rs带宽</v>
      </c>
      <c r="K32" s="1">
        <v>400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3"/>
      <c r="B33" s="1" t="str">
        <v>fp8 算力(T)</v>
      </c>
      <c r="C33" s="4">
        <v>239</v>
      </c>
      <c r="D33" s="2"/>
      <c r="E33" s="3"/>
      <c r="F33" s="1" t="str">
        <v>fp8 算力(T)</v>
      </c>
      <c r="G33" s="4">
        <v>1979</v>
      </c>
      <c r="H33" s="2"/>
      <c r="I33" s="3"/>
      <c r="J33" s="1" t="str">
        <v>fp8 算力(T)</v>
      </c>
      <c r="K33" s="1">
        <v>624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3"/>
      <c r="B34" s="4" t="str">
        <v>all2all带宽(GB)</v>
      </c>
      <c r="C34" s="4">
        <v>32</v>
      </c>
      <c r="D34" s="2"/>
      <c r="E34" s="3"/>
      <c r="F34" s="4" t="str">
        <v>all2all带宽(GB)</v>
      </c>
      <c r="G34" s="4">
        <v>900</v>
      </c>
      <c r="H34" s="2"/>
      <c r="I34" s="3"/>
      <c r="J34" s="4" t="str">
        <v>all2all带宽(GB)</v>
      </c>
      <c r="K34" s="1">
        <v>400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3"/>
      <c r="B35" s="4" t="str">
        <v>bf16算力(T)</v>
      </c>
      <c r="C35" s="4">
        <v>119.5</v>
      </c>
      <c r="D35" s="2"/>
      <c r="E35" s="3"/>
      <c r="F35" s="4" t="str">
        <v>bf16算力(T)</v>
      </c>
      <c r="G35" s="4">
        <v>989</v>
      </c>
      <c r="H35" s="2"/>
      <c r="I35" s="3"/>
      <c r="J35" s="4" t="str">
        <v>bf16算力(T)</v>
      </c>
      <c r="K35" s="1">
        <v>312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3"/>
      <c r="B36" s="4" t="str">
        <v>成本(元/Day)</v>
      </c>
      <c r="C36" s="4">
        <v>40</v>
      </c>
      <c r="D36" s="2"/>
      <c r="E36" s="3"/>
      <c r="F36" s="4" t="str">
        <v>成本(元/Day)</v>
      </c>
      <c r="G36" s="4">
        <v>220</v>
      </c>
      <c r="H36" s="2"/>
      <c r="I36" s="3"/>
      <c r="J36" s="4" t="str">
        <v>成本(元/Day)</v>
      </c>
      <c r="K36" s="1">
        <v>84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3">
        <v>4090</v>
      </c>
      <c r="B39" s="1" t="str">
        <v>int8 算力(T)</v>
      </c>
      <c r="C39" s="1">
        <v>660.6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3"/>
      <c r="B40" s="1" t="str">
        <v>显存带宽(T)</v>
      </c>
      <c r="C40" s="4">
        <v>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3"/>
      <c r="B41" s="1" t="str">
        <v>ar/ag/rs带宽</v>
      </c>
      <c r="C41" s="1">
        <v>32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3"/>
      <c r="B42" s="1" t="str">
        <v>fp8 算力(T)</v>
      </c>
      <c r="C42" s="1">
        <v>660.6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3"/>
      <c r="B43" s="4" t="str">
        <v>all2all带宽(GB)</v>
      </c>
      <c r="C43" s="4">
        <v>32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3"/>
      <c r="B44" s="4" t="str">
        <v>bf16算力(T)</v>
      </c>
      <c r="C44" s="4">
        <v>165.2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3"/>
      <c r="B45" s="4" t="str">
        <v>成本(元/Day)</v>
      </c>
      <c r="C45" s="4">
        <v>40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</sheetData>
  <mergeCells>
    <mergeCell ref="A39:A45"/>
    <mergeCell ref="I30:I36"/>
    <mergeCell ref="E30:E36"/>
    <mergeCell ref="A30:A36"/>
    <mergeCell ref="I22:I28"/>
    <mergeCell ref="E22:E28"/>
    <mergeCell ref="A22:A28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21"/>
    <col collapsed="false" customWidth="true" hidden="false" max="3" min="3" style="0" width="10"/>
    <col collapsed="false" customWidth="true" hidden="false" max="4" min="4" style="0" width="19"/>
    <col collapsed="false" customWidth="true" hidden="false" max="5" min="5" style="0" width="21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3"/>
    <col collapsed="false" customWidth="true" hidden="false" max="9" min="9" style="0" width="10"/>
    <col collapsed="false" customWidth="true" hidden="false" max="10" min="10" style="0" width="13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3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6"/>
    <col collapsed="false" customWidth="true" hidden="false" max="17" min="17" style="0" width="10"/>
    <col collapsed="false" customWidth="true" hidden="false" max="18" min="18" style="0" width="19"/>
    <col collapsed="false" customWidth="true" hidden="false" max="19" min="19" style="0" width="12"/>
    <col collapsed="false" customWidth="true" hidden="false" max="20" min="20" style="0" width="13"/>
    <col collapsed="false" customWidth="true" hidden="false" max="21" min="21" style="0" width="10"/>
    <col collapsed="false" customWidth="true" hidden="false" max="22" min="22" style="0" width="10"/>
    <col collapsed="false" customWidth="true" hidden="false" max="23" min="23" style="0" width="10"/>
    <col collapsed="false" customWidth="true" hidden="false" max="24" min="24" style="0" width="10"/>
    <col collapsed="false" customWidth="true" hidden="false" max="25" min="25" style="0" width="10"/>
    <col collapsed="false" customWidth="true" hidden="false" max="26" min="26" style="0" width="10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0"/>
    <col collapsed="false" customWidth="true" hidden="false" max="32" min="32" style="0" width="10"/>
    <col collapsed="false" customWidth="true" hidden="false" max="33" min="33" style="0" width="10"/>
    <col collapsed="false" customWidth="true" hidden="false" max="34" min="34" style="0" width="10"/>
    <col collapsed="false" customWidth="true" hidden="false" max="35" min="35" style="0" width="10"/>
    <col collapsed="false" customWidth="true" hidden="false" max="36" min="36" style="0" width="10"/>
    <col collapsed="false" customWidth="true" hidden="false" max="37" min="37" style="0" width="10"/>
    <col collapsed="false" customWidth="true" hidden="false" max="38" min="38" style="0" width="10"/>
    <col collapsed="false" customWidth="true" hidden="false" max="39" min="39" style="0" width="10"/>
    <col collapsed="false" customWidth="true" hidden="false" max="40" min="40" style="0" width="10"/>
    <col collapsed="false" customWidth="true" hidden="false" max="41" min="41" style="0" width="10"/>
    <col collapsed="false" customWidth="true" hidden="false" max="42" min="42" style="0" width="10"/>
    <col collapsed="false" customWidth="true" hidden="false" max="43" min="43" style="0" width="10"/>
    <col collapsed="false" customWidth="true" hidden="false" max="44" min="44" style="0" width="10"/>
    <col collapsed="false" customWidth="true" hidden="false" max="45" min="45" style="0" width="10"/>
    <col collapsed="false" customWidth="true" hidden="false" max="46" min="46" style="0" width="10"/>
    <col collapsed="false" customWidth="true" hidden="false" max="47" min="47" style="0" width="10"/>
    <col collapsed="false" customWidth="true" hidden="false" max="48" min="48" style="0" width="10"/>
    <col collapsed="false" customWidth="true" hidden="false" max="49" min="49" style="0" width="10"/>
    <col collapsed="false" customWidth="true" hidden="false" max="50" min="50" style="0" width="10"/>
    <col collapsed="false" customWidth="true" hidden="false" max="51" min="51" style="0" width="10"/>
    <col collapsed="false" customWidth="true" hidden="false" max="52" min="52" style="0" width="10"/>
    <col collapsed="false" customWidth="true" hidden="false" max="53" min="53" style="0" width="10"/>
    <col collapsed="false" customWidth="true" hidden="false" max="54" min="54" style="0" width="13"/>
    <col collapsed="false" customWidth="true" hidden="false" max="55" min="55" style="0" width="10"/>
    <col collapsed="false" customWidth="true" hidden="false" max="56" min="56" style="0" width="10"/>
    <col collapsed="false" customWidth="true" hidden="false" max="57" min="57" style="0" width="10"/>
    <col collapsed="false" customWidth="true" hidden="false" max="58" min="58" style="0" width="10"/>
    <col collapsed="false" customWidth="true" hidden="false" max="59" min="59" style="0" width="10"/>
    <col collapsed="false" customWidth="true" hidden="false" max="60" min="60" style="0" width="10"/>
    <col collapsed="false" customWidth="true" hidden="false" max="61" min="61" style="0" width="12"/>
    <col collapsed="false" customWidth="true" hidden="false" max="62" min="62" style="0" width="10"/>
    <col collapsed="false" customWidth="true" hidden="false" max="63" min="63" style="0" width="10"/>
    <col collapsed="false" customWidth="true" hidden="false" max="64" min="64" style="0" width="10"/>
    <col collapsed="false" customWidth="true" hidden="false" max="65" min="65" style="0" width="10"/>
    <col collapsed="false" customWidth="true" hidden="false" max="66" min="66" style="0" width="10"/>
    <col collapsed="false" customWidth="true" hidden="false" max="67" min="67" style="0" width="10"/>
    <col collapsed="false" customWidth="true" hidden="false" max="68" min="68" style="0" width="10"/>
    <col collapsed="false" customWidth="true" hidden="false" max="69" min="69" style="0" width="10"/>
    <col collapsed="false" customWidth="true" hidden="false" max="70" min="70" style="0" width="10"/>
    <col collapsed="false" customWidth="true" hidden="false" max="71" min="71" style="0" width="10"/>
  </cols>
  <sheetData>
    <row r="1">
      <c r="A1" s="25" t="str">
        <v>标绿的可以改，没标的不建议改，可以通过调整 Attention DP BatchSize 来控制 E2E 延迟</v>
      </c>
      <c r="B1" s="25"/>
      <c r="C1" s="25"/>
      <c r="D1" s="25"/>
      <c r="E1" s="25"/>
      <c r="F1" s="25"/>
      <c r="G1" s="25"/>
      <c r="H1" s="25"/>
      <c r="I1" s="25"/>
      <c r="J1" s="2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>
      <c r="A2" s="3" t="str">
        <v>Workload</v>
      </c>
      <c r="B2" s="4" t="str">
        <v>AVG SEQ_LEN</v>
      </c>
      <c r="C2" s="2">
        <v>5120</v>
      </c>
      <c r="D2" s="24" t="str">
        <v>Decode
并行配置
Decode 默认走DP+EP</v>
      </c>
      <c r="E2" s="1" t="str">
        <v>World Size</v>
      </c>
      <c r="F2" s="25">
        <v>16</v>
      </c>
      <c r="G2" s="3" t="str">
        <v>Decode SOL</v>
      </c>
      <c r="H2" s="1" t="str">
        <v>QKVGemm</v>
      </c>
      <c r="I2" s="23">
        <v>0.4</v>
      </c>
      <c r="J2" s="4" t="str">
        <v>OutProjGemm</v>
      </c>
      <c r="K2" s="23">
        <v>0.4943323544838017</v>
      </c>
      <c r="L2" s="3" t="str">
        <v>Decode
硬件参数</v>
      </c>
      <c r="M2" s="1" t="str">
        <v>ffn 算力(T)</v>
      </c>
      <c r="N2" s="5">
        <v>376</v>
      </c>
      <c r="O2" s="3" t="str">
        <v>模型结构</v>
      </c>
      <c r="P2" s="1" t="str">
        <v>hidden_size</v>
      </c>
      <c r="Q2" s="1">
        <v>7168</v>
      </c>
      <c r="R2" s="4" t="str">
        <v>top_k</v>
      </c>
      <c r="S2" s="4">
        <v>8</v>
      </c>
      <c r="T2" s="4" t="str">
        <v>num_share_experts</v>
      </c>
      <c r="U2" s="4">
        <v>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>
      <c r="A3" s="3"/>
      <c r="B3" s="1" t="str">
        <v>Spec Step</v>
      </c>
      <c r="C3" s="1">
        <v>2</v>
      </c>
      <c r="D3" s="24"/>
      <c r="E3" s="1" t="str">
        <v>Attn TP World Size</v>
      </c>
      <c r="F3" s="26">
        <v>1</v>
      </c>
      <c r="G3" s="3"/>
      <c r="H3" s="1" t="str">
        <v>GroupFFN0</v>
      </c>
      <c r="I3" s="23">
        <v>0.3</v>
      </c>
      <c r="J3" s="4" t="str">
        <v>ShareFFN0</v>
      </c>
      <c r="K3" s="23">
        <v>0.44</v>
      </c>
      <c r="L3" s="3"/>
      <c r="M3" s="1" t="str">
        <v>显存带宽(T)</v>
      </c>
      <c r="N3" s="26">
        <v>1.6</v>
      </c>
      <c r="O3" s="3"/>
      <c r="P3" s="1" t="str">
        <v>q_head_num</v>
      </c>
      <c r="Q3" s="1">
        <v>128</v>
      </c>
      <c r="R3" s="4" t="str">
        <v>num_experts</v>
      </c>
      <c r="S3" s="4">
        <v>256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>
      <c r="A4" s="3"/>
      <c r="B4" s="1" t="str">
        <v>Accept Rate</v>
      </c>
      <c r="C4" s="25">
        <v>0.8</v>
      </c>
      <c r="D4" s="24"/>
      <c r="E4" s="4" t="str">
        <v>Attn DP World Size</v>
      </c>
      <c r="F4" s="1">
        <f>F2/F3</f>
      </c>
      <c r="G4" s="3"/>
      <c r="H4" s="1" t="str">
        <v>GroupFFN1</v>
      </c>
      <c r="I4" s="23">
        <v>0.3</v>
      </c>
      <c r="J4" s="4" t="str">
        <v>ShareFFN1</v>
      </c>
      <c r="K4" s="23">
        <v>0.4</v>
      </c>
      <c r="L4" s="3"/>
      <c r="M4" s="1" t="str">
        <v>ar/ag/rs带宽</v>
      </c>
      <c r="N4" s="1">
        <v>900</v>
      </c>
      <c r="O4" s="3"/>
      <c r="P4" s="1" t="str">
        <v>k_head_num</v>
      </c>
      <c r="Q4" s="1">
        <v>1</v>
      </c>
      <c r="R4" s="1" t="str">
        <v>qkvo 参数量(B)</v>
      </c>
      <c r="S4" s="23"/>
      <c r="T4" s="4" t="str">
        <v>激活量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>
      <c r="A5" s="3"/>
      <c r="B5" s="4" t="str">
        <v>Accept Len</v>
      </c>
      <c r="C5" s="22">
        <f>(1-C4^C3)/(1-C4)</f>
      </c>
      <c r="D5" s="24"/>
      <c r="E5" s="1" t="str">
        <v>FFN World Size</v>
      </c>
      <c r="F5" s="1">
        <f>F2</f>
      </c>
      <c r="G5" s="3"/>
      <c r="H5" s="1" t="str">
        <v>Attention</v>
      </c>
      <c r="I5" s="23">
        <v>0.5</v>
      </c>
      <c r="J5" s="4" t="str">
        <v>访存 SOL</v>
      </c>
      <c r="K5" s="4">
        <v>0.7</v>
      </c>
      <c r="L5" s="3"/>
      <c r="M5" s="1" t="str">
        <v>attn 算力(T)</v>
      </c>
      <c r="N5" s="4">
        <v>376</v>
      </c>
      <c r="O5" s="3"/>
      <c r="P5" s="4" t="str">
        <v>v_head_num</v>
      </c>
      <c r="Q5" s="1">
        <v>1</v>
      </c>
      <c r="R5" s="1" t="str">
        <v>ffn 参数量(B)</v>
      </c>
      <c r="S5" s="23">
        <f>$Q$9*($Q$2*$Q$8*3*($S$3))/1024/1024/1024</f>
      </c>
      <c r="T5" s="4" t="str">
        <v>share_experts 参数量(B)</v>
      </c>
      <c r="U5" s="22">
        <f>$Q$9*($Q$2*$Q$8*3*$U$2)/1024/1024/1024</f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>
      <c r="A6" s="3"/>
      <c r="B6" s="4" t="str">
        <v>Cost3 系数</v>
      </c>
      <c r="C6" s="4">
        <v>1.5</v>
      </c>
      <c r="D6" s="24"/>
      <c r="E6" s="4" t="str">
        <v>显存总量(GB)</v>
      </c>
      <c r="F6" s="4">
        <v>96</v>
      </c>
      <c r="G6" s="3"/>
      <c r="H6" s="1" t="str">
        <v>NCCL(TP)</v>
      </c>
      <c r="I6" s="23">
        <v>0.4</v>
      </c>
      <c r="J6" s="4" t="str">
        <v>DSA</v>
      </c>
      <c r="K6" s="4">
        <v>0.7</v>
      </c>
      <c r="L6" s="3"/>
      <c r="M6" s="4" t="str">
        <v>all2all带宽(GB)</v>
      </c>
      <c r="N6" s="4">
        <v>392</v>
      </c>
      <c r="O6" s="3"/>
      <c r="P6" s="1" t="str">
        <v>k_head_dim</v>
      </c>
      <c r="Q6" s="1">
        <v>576</v>
      </c>
      <c r="R6" s="4" t="str">
        <v>buffer 预留(GB)</v>
      </c>
      <c r="S6" s="25">
        <v>1</v>
      </c>
      <c r="T6" s="4" t="str">
        <v>词表参数量(B)</v>
      </c>
      <c r="U6" s="22">
        <f>Q2*S8/1024/1024/1024</f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>
      <c r="A7" s="3"/>
      <c r="B7" s="4" t="str">
        <v>Prefix Cache命中率</v>
      </c>
      <c r="C7" s="4">
        <v>0.1</v>
      </c>
      <c r="D7" s="24"/>
      <c r="E7" s="4"/>
      <c r="F7" s="4"/>
      <c r="G7" s="3"/>
      <c r="H7" s="1" t="str">
        <v>NCCL(A2A)</v>
      </c>
      <c r="I7" s="23">
        <v>0.4</v>
      </c>
      <c r="J7" s="4"/>
      <c r="K7" s="4"/>
      <c r="L7" s="3"/>
      <c r="M7" s="4" t="str">
        <v>bf16算力(T)</v>
      </c>
      <c r="N7" s="4">
        <v>148.4</v>
      </c>
      <c r="O7" s="3"/>
      <c r="P7" s="4" t="str">
        <v>v_head_dim</v>
      </c>
      <c r="Q7" s="4">
        <v>512</v>
      </c>
      <c r="R7" s="4" t="str">
        <v>kv_cache_1_batch(MB)</v>
      </c>
      <c r="S7" s="22">
        <f>(Q4*Q6+Q5*Q7+Q12*Q11)/F3*C2/1024/1024</f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>
      <c r="A8" s="3"/>
      <c r="B8" s="4"/>
      <c r="C8" s="4"/>
      <c r="D8" s="24"/>
      <c r="E8" s="4"/>
      <c r="F8" s="4"/>
      <c r="G8" s="3"/>
      <c r="H8" s="1" t="str">
        <v>Elementwise</v>
      </c>
      <c r="I8" s="23">
        <v>0.5</v>
      </c>
      <c r="J8" s="4"/>
      <c r="K8" s="4"/>
      <c r="L8" s="3"/>
      <c r="M8" s="4" t="str">
        <v>成本(元/Day)</v>
      </c>
      <c r="N8" s="4">
        <v>80</v>
      </c>
      <c r="O8" s="3"/>
      <c r="P8" s="1" t="str">
        <v>ffn_dim</v>
      </c>
      <c r="Q8" s="1">
        <v>2048</v>
      </c>
      <c r="R8" s="4" t="str">
        <v>vocab_size</v>
      </c>
      <c r="S8" s="4">
        <v>155136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>
      <c r="A9" s="4"/>
      <c r="B9" s="4"/>
      <c r="C9" s="4"/>
      <c r="D9" s="24" t="str">
        <v>Prefill
并行配置
*prefill 默认走 PP</v>
      </c>
      <c r="E9" s="1" t="str">
        <v>World Size</v>
      </c>
      <c r="F9" s="25">
        <v>16</v>
      </c>
      <c r="G9" s="3" t="str">
        <v>Prefill
SOL</v>
      </c>
      <c r="H9" s="1" t="str">
        <v>QKVGemm</v>
      </c>
      <c r="I9" s="23">
        <v>0.7</v>
      </c>
      <c r="J9" s="4" t="str">
        <v>OutProjGemm</v>
      </c>
      <c r="K9" s="23">
        <v>0.4943323544838017</v>
      </c>
      <c r="L9" s="3" t="str">
        <v>Prefill
硬件参数</v>
      </c>
      <c r="M9" s="1" t="str">
        <v>ffn 算力(T)</v>
      </c>
      <c r="N9" s="4">
        <v>376</v>
      </c>
      <c r="O9" s="3"/>
      <c r="P9" s="1" t="str">
        <v>layers</v>
      </c>
      <c r="Q9" s="1">
        <v>61</v>
      </c>
      <c r="R9" s="4" t="str">
        <v>kv_mirror_layers</v>
      </c>
      <c r="S9" s="4"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>
      <c r="A10" s="1"/>
      <c r="B10" s="4"/>
      <c r="C10" s="28"/>
      <c r="D10" s="24"/>
      <c r="E10" s="1" t="str">
        <v>TP World Size</v>
      </c>
      <c r="F10" s="26">
        <v>4</v>
      </c>
      <c r="G10" s="3"/>
      <c r="H10" s="1" t="str">
        <v>GroupFFN0</v>
      </c>
      <c r="I10" s="23">
        <v>0.5</v>
      </c>
      <c r="J10" s="4" t="str">
        <v>ShareFFN0</v>
      </c>
      <c r="K10" s="23">
        <v>0.44</v>
      </c>
      <c r="L10" s="3"/>
      <c r="M10" s="1" t="str">
        <v>显存带宽(T)</v>
      </c>
      <c r="N10" s="26">
        <v>1.6</v>
      </c>
      <c r="O10" s="3"/>
      <c r="P10" s="4" t="str">
        <v>q_lora_rank</v>
      </c>
      <c r="Q10" s="4">
        <v>1536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>
      <c r="A11" s="4"/>
      <c r="B11" s="4"/>
      <c r="C11" s="4"/>
      <c r="D11" s="24"/>
      <c r="E11" s="4" t="str">
        <v>PP World Size</v>
      </c>
      <c r="F11" s="1">
        <f>F9/F10</f>
      </c>
      <c r="G11" s="3"/>
      <c r="H11" s="1" t="str">
        <v>GroupFFN1</v>
      </c>
      <c r="I11" s="23">
        <v>0.5</v>
      </c>
      <c r="J11" s="4" t="str">
        <v>ShareFFN1</v>
      </c>
      <c r="K11" s="23">
        <v>0.4</v>
      </c>
      <c r="L11" s="3"/>
      <c r="M11" s="1" t="str">
        <v>ar/ag/rs带宽</v>
      </c>
      <c r="N11" s="1">
        <v>900</v>
      </c>
      <c r="O11" s="3"/>
      <c r="P11" s="4" t="str">
        <v>index_head_dim</v>
      </c>
      <c r="Q11" s="4">
        <v>128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>
      <c r="A12" s="4"/>
      <c r="B12" s="4"/>
      <c r="C12" s="4"/>
      <c r="D12" s="24"/>
      <c r="E12" s="1" t="str">
        <v>FFN World Size</v>
      </c>
      <c r="F12" s="1">
        <f>F10</f>
      </c>
      <c r="G12" s="3"/>
      <c r="H12" s="1" t="str">
        <v>Attention</v>
      </c>
      <c r="I12" s="23">
        <v>0.5</v>
      </c>
      <c r="J12" s="4" t="str">
        <v>访存 SOL</v>
      </c>
      <c r="K12" s="4">
        <v>0.7</v>
      </c>
      <c r="L12" s="3"/>
      <c r="M12" s="1" t="str">
        <v>attn 算力(T)</v>
      </c>
      <c r="N12" s="4">
        <v>376</v>
      </c>
      <c r="O12" s="3"/>
      <c r="P12" s="4" t="str">
        <v>index_n_heads</v>
      </c>
      <c r="Q12" s="4">
        <v>64</v>
      </c>
      <c r="R12" s="1"/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>
      <c r="A13" s="4"/>
      <c r="B13" s="4"/>
      <c r="C13" s="4"/>
      <c r="D13" s="24"/>
      <c r="E13" s="4" t="str">
        <v>显存总量(GB)</v>
      </c>
      <c r="F13" s="4">
        <v>24</v>
      </c>
      <c r="G13" s="3"/>
      <c r="H13" s="1" t="str">
        <v>NCCL(TP)</v>
      </c>
      <c r="I13" s="23">
        <v>0.4</v>
      </c>
      <c r="J13" s="4" t="str">
        <v>DSA</v>
      </c>
      <c r="K13" s="4">
        <v>0.7</v>
      </c>
      <c r="L13" s="3"/>
      <c r="M13" s="4" t="str">
        <v>all2all带宽(GB)</v>
      </c>
      <c r="N13" s="4">
        <v>392</v>
      </c>
      <c r="O13" s="3"/>
      <c r="P13" s="4" t="str">
        <v>index_topk</v>
      </c>
      <c r="Q13" s="4">
        <v>2048</v>
      </c>
      <c r="R13" s="1"/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</row>
    <row r="14">
      <c r="A14" s="4"/>
      <c r="B14" s="4"/>
      <c r="C14" s="4"/>
      <c r="D14" s="24"/>
      <c r="E14" s="4"/>
      <c r="F14" s="4"/>
      <c r="G14" s="3"/>
      <c r="H14" s="1" t="str">
        <v>NCCL(A2A)</v>
      </c>
      <c r="I14" s="23">
        <v>0.5</v>
      </c>
      <c r="J14" s="4"/>
      <c r="K14" s="4"/>
      <c r="L14" s="3"/>
      <c r="M14" s="4" t="str">
        <v>bf16算力(T)</v>
      </c>
      <c r="N14" s="4">
        <v>148.4</v>
      </c>
      <c r="O14" s="3"/>
      <c r="P14" s="4" t="str">
        <v>use_sparse</v>
      </c>
      <c r="Q14" s="4">
        <v>1</v>
      </c>
      <c r="R14" s="4"/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</row>
    <row r="15">
      <c r="A15" s="4"/>
      <c r="B15" s="4"/>
      <c r="C15" s="4"/>
      <c r="D15" s="24"/>
      <c r="E15" s="4"/>
      <c r="F15" s="4"/>
      <c r="G15" s="3"/>
      <c r="H15" s="1" t="str">
        <v>Elementwise</v>
      </c>
      <c r="I15" s="23">
        <v>0.5</v>
      </c>
      <c r="J15" s="4"/>
      <c r="K15" s="4"/>
      <c r="L15" s="3"/>
      <c r="M15" s="4" t="str">
        <v>成本(元/Day)</v>
      </c>
      <c r="N15" s="4">
        <v>80</v>
      </c>
      <c r="O15" s="3"/>
      <c r="P15" s="4"/>
      <c r="Q15" s="4"/>
      <c r="R15" s="4"/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</row>
    <row r="16">
      <c r="A16" s="4"/>
      <c r="B16" s="4"/>
      <c r="C16" s="4"/>
      <c r="D16" s="4"/>
      <c r="E16" s="4"/>
      <c r="F16" s="4"/>
      <c r="G16" s="4"/>
      <c r="H16" s="28"/>
      <c r="I16" s="4"/>
      <c r="J16" s="4"/>
      <c r="K16" s="4"/>
      <c r="L16" s="4"/>
      <c r="M16" s="4"/>
      <c r="N16" s="4"/>
      <c r="O16" s="4"/>
      <c r="P16" s="4"/>
      <c r="Q16" s="4"/>
      <c r="R16" s="4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</row>
    <row r="19">
      <c r="A19" s="21" t="str">
        <v>Decoding 分段成本 MLA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</row>
    <row r="20">
      <c r="A20" s="1" t="str">
        <v>context_len</v>
      </c>
      <c r="B20" s="1" t="str">
        <v>DP BatchSize</v>
      </c>
      <c r="C20" s="1" t="str">
        <v>Global BatchSize</v>
      </c>
      <c r="D20" s="1" t="str">
        <v>q_a_proj 计算耗时
*fixed</v>
      </c>
      <c r="E20" s="1" t="str">
        <v>q_a_proj 访存耗时</v>
      </c>
      <c r="F20" s="1" t="str">
        <v>q_b_proj 计算耗时</v>
      </c>
      <c r="G20" s="1" t="str">
        <v>q_b_proj 访存耗时</v>
      </c>
      <c r="H20" s="1" t="str">
        <v>q_index_b_proj 计算耗时
*fixed</v>
      </c>
      <c r="I20" s="1" t="str">
        <v>q_index_b_proj 访存耗时</v>
      </c>
      <c r="J20" s="1" t="str">
        <v>kv_index_proj 计算耗时
*fixed</v>
      </c>
      <c r="K20" s="1" t="str">
        <v>kv_index_proj 访存耗时</v>
      </c>
      <c r="L20" s="1" t="str">
        <v>index_weight_proj 计算耗时
*fixed</v>
      </c>
      <c r="M20" s="19" t="str">
        <v>index_weight_proj 访存耗时</v>
      </c>
      <c r="N20" s="1" t="str">
        <v>index 计算耗时</v>
      </c>
      <c r="O20" s="17" t="str">
        <v>index 访存耗时</v>
      </c>
      <c r="P20" s="1" t="str">
        <v>k_b_proj 计算耗时
*bf16</v>
      </c>
      <c r="Q20" s="1" t="str">
        <v>k_b_proj 访存耗时
*bf16</v>
      </c>
      <c r="R20" s="1" t="str">
        <v>kv_a_proj 计算耗时
*fixed</v>
      </c>
      <c r="S20" s="17" t="str">
        <v>attn 计算耗时
*bf16 精度，所以多乘了一个2</v>
      </c>
      <c r="T20" s="17" t="str">
        <v>attn 访存耗时</v>
      </c>
      <c r="U20" s="17" t="str">
        <v>v_b_proj 计算耗时 
*bf16</v>
      </c>
      <c r="V20" s="1" t="str">
        <v>v_b_proj 访存耗时 
*bf16</v>
      </c>
      <c r="W20" s="1" t="str">
        <v>o_proj 计算耗时</v>
      </c>
      <c r="X20" s="1" t="str">
        <v>o_proj 访存耗时</v>
      </c>
      <c r="Y20" s="20" t="str">
        <v>element_wise&amp;topk&amp;share</v>
      </c>
      <c r="Z20" s="1" t="str">
        <v>all_reduce</v>
      </c>
      <c r="AA20" s="17" t="str">
        <v>all2all_0
*包含dp不均损耗</v>
      </c>
      <c r="AB20" s="17" t="str">
        <v>ffn0 计算耗时</v>
      </c>
      <c r="AC20" s="17" t="str">
        <v>ffn0 访存耗时</v>
      </c>
      <c r="AD20" s="1" t="str">
        <v>ffn1 计算耗时</v>
      </c>
      <c r="AE20" s="1" t="str">
        <v>ffn1 访存耗时</v>
      </c>
      <c r="AF20" s="1" t="str">
        <v>all2all_1
*包含ep不均损耗</v>
      </c>
      <c r="AG20" s="1" t="str">
        <v>all_gather</v>
      </c>
      <c r="AH20" s="1" t="str">
        <v>attn非sparse计算耗时</v>
      </c>
      <c r="AI20" s="1" t="str">
        <v>attn非sparse访存耗时</v>
      </c>
      <c r="AJ20" s="1" t="str">
        <v>per_layer耗时</v>
      </c>
      <c r="AK20" s="1" t="str">
        <v>非sparse per_layer耗时</v>
      </c>
      <c r="AL20" s="1" t="str">
        <v>ffn耗时占比</v>
      </c>
      <c r="AM20" s="1" t="str">
        <v>非sparse ffn耗时占比</v>
      </c>
      <c r="AN20" s="1" t="str">
        <v>attn耗时占比</v>
      </c>
      <c r="AO20" s="1" t="str">
        <v>非sparse attn耗时占比</v>
      </c>
      <c r="AP20" s="1" t="str">
        <v>all_layer耗时(ms)</v>
      </c>
      <c r="AQ20" s="1" t="str">
        <v>非 sparse all_layer耗时(ms)</v>
      </c>
      <c r="AR20" s="1" t="str">
        <v>per_token耗时(ms)</v>
      </c>
      <c r="AS20" s="1" t="str">
        <v>非 sparse per_token耗时(ms)</v>
      </c>
      <c r="AT20" s="1" t="str">
        <v>tps/card</v>
      </c>
      <c r="AU20" s="1" t="str">
        <v>非 sparse tps/card</v>
      </c>
      <c r="AV20" s="1" t="str">
        <v>cost1成本(元/百万Token)</v>
      </c>
      <c r="AW20" s="1" t="str">
        <v>非 sparse  cost1成本(元/百万Token)</v>
      </c>
      <c r="AX20" s="1" t="str">
        <v>cost3成本(元/百万Token)</v>
      </c>
      <c r="AY20" s="1" t="str">
        <v>非 sparse cost3成本(元/百万Token)</v>
      </c>
      <c r="AZ20" s="2"/>
      <c r="BA20" s="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>
      <c r="A21" s="4">
        <v>1</v>
      </c>
      <c r="B21" s="4">
        <f>C21/F4/C3</f>
      </c>
      <c r="C21" s="4">
        <v>640</v>
      </c>
      <c r="D21" s="12">
        <v>10</v>
      </c>
      <c r="E21" s="12">
        <f>_xlfn.LAMBDA(m,n,k,(m*k+2*m*n+n*k)*1000*1000/$N$3/1024/1024/1024/1024/$K$5)(B21*$C$3,$Q$10,$Q$2)</f>
      </c>
      <c r="F21" s="12">
        <f>_xlfn.LAMBDA(m,n,k, 2*m*n*k*1000*1000/$N$2/1024/1024/1024/1024/$I$2)(B21*$C$3, $Q$3*(128+64)/$F$3, $Q$10)</f>
      </c>
      <c r="G21" s="12">
        <f>_xlfn.LAMBDA(m,n,k,(m*k+2*m*n+n*k)*1000*1000/$N$3/1024/1024/1024/1024/$K$5)(B21*$C$3, $Q$3*(128+64)/$F$3, $Q$10)</f>
      </c>
      <c r="H21" s="12">
        <v>15</v>
      </c>
      <c r="I21" s="12">
        <f>_xlfn.LAMBDA(m,n,k,(m*k+2*m*n+n*k)*1000*1000/$N$3/1024/1024/1024/1024/$K$5)(B21*$C$3,$Q$11*$Q$12,$Q$10)</f>
      </c>
      <c r="J21" s="12">
        <v>15</v>
      </c>
      <c r="K21" s="12">
        <f>_xlfn.LAMBDA(m,n,k,(m*k+2*m*n+n*k)*1000*1000/$N$3/1024/1024/1024/1024/$K$5)(B21*$C$3,$Q$11,$Q$2)</f>
      </c>
      <c r="L21" s="12">
        <v>5</v>
      </c>
      <c r="M21" s="12">
        <f>_xlfn.LAMBDA(m,n,k,(2*m*k+2*m*n+2*n*k)*1000*1000/$N$3/1024/1024/1024/1024/$K$5)(B21*$C$3,$Q$12,$Q$2)</f>
      </c>
      <c r="N21" s="12">
        <f>_xlfn.LAMBDA(seq_len, q_len, bs, seq_len*q_len*bs*2*($Q$12*$Q$11/$N$5 + $Q$12 / $N$7)*1000*1000/1024/1024/1024/1024/$K$6)(A21,$C$3,B21)</f>
      </c>
      <c r="O21" s="12">
        <f>_xlfn.LAMBDA(seq_len, q_len, bs, (q_len*bs*$Q$12*$Q$11 + seq_len * bs * $Q$11 + q_len*bs*$Q$12*4)*1000*1000/1024/1024/1024/1024/$N$3/$K$5)(A21,$C$3,B21)</f>
      </c>
      <c r="P21" s="12">
        <f>_xlfn.LAMBDA(b, m,n,k, 2*b*m*n*k*1000*1000/$N$7/1024/1024/1024/1024/$I$2)($Q$3, B21*$C$3, 128, $Q$7)</f>
      </c>
      <c r="Q21" s="12">
        <f>_xlfn.LAMBDA(b,m,n,k,b*(2*m*k+2*m*n+2*n*k)*1000*1000/$N$3/1024/1024/1024/1024/$K$5)($Q$3, B21*$C$3, 128, $Q$7)</f>
      </c>
      <c r="R21" s="12">
        <v>10</v>
      </c>
      <c r="S21" s="12">
        <f>_xlfn.LAMBDA(seq_len, q_len, bs, 2*seq_len*q_len*bs*2*$Q$3/$F$3*($Q$6 + $Q$7)*1000*1000/1024/1024/1024/1024/$N$5/$K$6)(MIN(A21,2048),$C$3,B21)</f>
      </c>
      <c r="T21" s="12">
        <f>_xlfn.LAMBDA(seq_len, q_len, bs, seq_len*bs*($Q$6 + $Q$7)*1000*1000/1024/1024/1024/1024/$N$3/$K$5)(MIN(A21,2048),$C$3,B21)</f>
      </c>
      <c r="U21" s="12">
        <f>_xlfn.LAMBDA(b, m,n,k, 2*b*m*n*k*1000*1000/$N$7/1024/1024/1024/1024/$I$2)($Q$3, B21*$C$3, 128, $Q$7)</f>
      </c>
      <c r="V21" s="12">
        <f>_xlfn.LAMBDA(b,m,n,k,b*(2*m*k+2*m*n+2*n*k)*1000*1000/$N$3/1024/1024/1024/1024/$K$5)($Q$3, B21*$C$3, 128, $Q$7)</f>
      </c>
      <c r="W21" s="12">
        <f>_xlfn.LAMBDA(m,n,k, 2*m*n*k*1000*1000/$N$2/1024/1024/1024/1024/$K$2)(B21*$C$3, $Q$3*128/$F$3, $Q$2)</f>
      </c>
      <c r="X21" s="12">
        <f>_xlfn.LAMBDA(m,n,k,(m*k+2*m*n+n*k)*1000*1000/$N$3/1024/1024/1024/1024/$K$5)(B21*$C$3, $Q$3*128/$F$3, $Q$2)</f>
      </c>
      <c r="Y21" s="12">
        <f>150 + $B21 *$C$3 * 2.3</f>
      </c>
      <c r="Z21" s="12">
        <f>_xlfn.LAMBDA(tp_size, hidden_size, batch_size, 2*batch_size*(tp_size-1)/tp_size*hidden_size*1000*1000/$N$4/1024/1024/1024/$I$6)($F$3, $Q$2,B21*$C$3)</f>
      </c>
      <c r="AA21" s="12">
        <f>_xlfn.LAMBDA(token_size_per_rank, to_nodes,hidden_size, sizeof_dtype, 50 + 4*token_size_per_rank * to_nodes * hidden_size*sizeof_dtype*1000*1000/$N$6/1024/1024/1024/$I$7)(B21*$C$5/$F$3, MIN($F$2,$S$2), $Q$2, 1)</f>
      </c>
      <c r="AB21" s="12">
        <f>_xlfn.LAMBDA(m,n,k, 2*m*n*k*1000*1000/$N$2/1024/1024/1024/1024/$I$3)(C21*$S$2/$F$5,$Q$8*2,$Q$2)</f>
      </c>
      <c r="AC21" s="12">
        <f>_xlfn.LAMBDA(size_of_dtype, experts, ep_size, hidden_size, internal_dim, experts/ep_size*hidden_size*internal_dim*size_of_dtype/$N$3/$K$5/1024/1024/1024/1024*1000*1000)(0.5,$S$3,$F$5,$Q$2,$Q$8*2)</f>
      </c>
      <c r="AD21" s="12">
        <f>_xlfn.LAMBDA(m,n,k, 2*m*n*k*1000*1000/$N$2/1024/1024/1024/1024/$I$3)(C21*$S$2/$F$5,$Q$2,$Q$8)</f>
      </c>
      <c r="AE21" s="12">
        <f>_xlfn.LAMBDA(size_of_dtype, experts, ep_size, hidden_size, internal_dim, experts/ep_size*hidden_size*internal_dim*size_of_dtype/$N$3/$K$5/1024/1024/1024/1024*1000*1000)(0.5,$S$3,$F$5,$Q$8, $Q$2)</f>
      </c>
      <c r="AF21" s="12">
        <f>AA21</f>
      </c>
      <c r="AG21" s="12">
        <f>_xlfn.LAMBDA(tp_size, hidden_size, batch_size, batch_size*(tp_size-1)*hidden_size*1000*1000/$N$4/1024/1024/1024/$I$6)($F$3, $Q$2,B21*$C$3)</f>
      </c>
      <c r="AH21" s="12">
        <f>_xlfn.LAMBDA(seq_len, q_len, bs, 2*seq_len*q_len*bs*2*$Q$3/$F$3*($Q$6 + $Q$7)*1000*1000/1024/1024/1024/1024/$N$5/$I$5)(A21,$C$3,B21)</f>
      </c>
      <c r="AI21" s="12">
        <f>_xlfn.LAMBDA(seq_len, q_len, bs, seq_len*bs*($Q$6 + $Q$7)*1000*1000/1024/1024/1024/1024/$N$3/$K$5)(A21,$C$3,B21)</f>
      </c>
      <c r="AJ21" s="12">
        <f>MAX(D21:E21)+MAX(F21:G21)+MAX(H21:I21)+MAX(J21:K21)+MAX(L21:M21)+MAX(N21:O21)+MAX(P21:Q21)+MAX(R21:S21)+MAX(S21:T21)+MAX(U21:V21)+MAX(W21:X21)+MAX(AB21:AC21)+MAX(AD21:AE21)+SUM(Y21:AA21)+SUM(AF21:AG21)</f>
      </c>
      <c r="AK21" s="12">
        <f>AJ21-MAX(J21:K21)-MAX(L21:M21)-MAX(N21:O21)-MAX(H21:I21)-MAX(S21:T21)+MAX(AH21:AI21)-0.05*AJ21</f>
      </c>
      <c r="AL21" s="12">
        <f>(MAX(AB21:AC21)+MAX(AD21:AE21))/AJ21</f>
      </c>
      <c r="AM21" s="12">
        <f>(MAX(AB21:AC21)+MAX(AD21:AE21))/AK21</f>
      </c>
      <c r="AN21" s="12">
        <f>MAX(S21:T21)/AJ21</f>
      </c>
      <c r="AO21" s="12">
        <f>MAX(AH21:AI21)/AK21</f>
      </c>
      <c r="AP21" s="12">
        <f>AJ21*$Q$9/1000</f>
      </c>
      <c r="AQ21" s="12">
        <f>AK21*$Q$9/1000</f>
      </c>
      <c r="AR21" s="12">
        <f>(AP21+2)/$C$5</f>
      </c>
      <c r="AS21" s="12">
        <f>(AQ21+2)/$C$5</f>
      </c>
      <c r="AT21" s="12">
        <f>B21*1000/AR21/$F$3</f>
      </c>
      <c r="AU21" s="12">
        <f>B21*1000/AS21/$F$3</f>
      </c>
      <c r="AV21" s="13">
        <f>1000000*$N$8/24/60/60/AT21</f>
      </c>
      <c r="AW21" s="13">
        <f>1000000*$N$8/24/60/60/AU21</f>
      </c>
      <c r="AX21" s="13">
        <f>AV21*$C$6</f>
      </c>
      <c r="AY21" s="13">
        <f>AW21*$C$6</f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</row>
    <row r="22">
      <c r="A22" s="4">
        <v>1024</v>
      </c>
      <c r="B22" s="4">
        <f>C22/F4/C3</f>
      </c>
      <c r="C22" s="4">
        <v>640</v>
      </c>
      <c r="D22" s="12">
        <v>10</v>
      </c>
      <c r="E22" s="12">
        <f>_xlfn.LAMBDA(m,n,k,(m*k+2*m*n+n*k)*1000*1000/$N$3/1024/1024/1024/1024/$K$5)(B22*$C$3,$Q$10,$Q$2)</f>
      </c>
      <c r="F22" s="12">
        <f>_xlfn.LAMBDA(m,n,k, 2*m*n*k*1000*1000/$N$2/1024/1024/1024/1024/$I$2)(B22*$C$3, $Q$3*(128+64)/$F$3, $Q$10)</f>
      </c>
      <c r="G22" s="12">
        <f>_xlfn.LAMBDA(m,n,k,(m*k+2*m*n+n*k)*1000*1000/$N$3/1024/1024/1024/1024/$K$5)(B22*$C$3, $Q$3*(128+64)/$F$3, $Q$10)</f>
      </c>
      <c r="H22" s="12">
        <v>15</v>
      </c>
      <c r="I22" s="12">
        <f>_xlfn.LAMBDA(m,n,k,(m*k+2*m*n+n*k)*1000*1000/$N$3/1024/1024/1024/1024/$K$5)(B22*$C$3,$Q$11*$Q$12,$Q$10)</f>
      </c>
      <c r="J22" s="12">
        <v>15</v>
      </c>
      <c r="K22" s="12">
        <f>_xlfn.LAMBDA(m,n,k,(m*k+2*m*n+n*k)*1000*1000/$N$3/1024/1024/1024/1024/$K$5)(B22*$C$3,$Q$11,$Q$2)</f>
      </c>
      <c r="L22" s="12">
        <v>5</v>
      </c>
      <c r="M22" s="12">
        <f>_xlfn.LAMBDA(m,n,k,(2*m*k+2*m*n+2*n*k)*1000*1000/$N$3/1024/1024/1024/1024/$K$5)(B22*$C$3,$Q$12,$Q$2)</f>
      </c>
      <c r="N22" s="12">
        <f>_xlfn.LAMBDA(seq_len, q_len, bs, seq_len*q_len*bs*2*($Q$12*$Q$11/$N$5 + $Q$12 / $N$7)*1000*1000/1024/1024/1024/1024/$K$6)(A22,$C$3,B22)</f>
      </c>
      <c r="O22" s="12">
        <f>_xlfn.LAMBDA(seq_len, q_len, bs, (q_len*bs*$Q$12*$Q$11 + seq_len * bs * $Q$11 + q_len*bs*$Q$12*4)*1000*1000/1024/1024/1024/1024/$N$3/$K$5)(A22,$C$3,B22)</f>
      </c>
      <c r="P22" s="12">
        <f>_xlfn.LAMBDA(b, m,n,k, 2*b*m*n*k*1000*1000/$N$7/1024/1024/1024/1024/$I$2)($Q$3, B22*$C$3, 128, $Q$7)</f>
      </c>
      <c r="Q22" s="12">
        <f>_xlfn.LAMBDA(b,m,n,k,b*(2*m*k+2*m*n+2*n*k)*1000*1000/$N$3/1024/1024/1024/1024/$K$5)($Q$3, B22*$C$3, 128, $Q$7)</f>
      </c>
      <c r="R22" s="12">
        <v>10</v>
      </c>
      <c r="S22" s="12">
        <f>_xlfn.LAMBDA(seq_len, q_len, bs, 2*seq_len*q_len*bs*2*$Q$3/$F$3*($Q$6 + $Q$7)*1000*1000/1024/1024/1024/1024/$N$5/$K$6)(MIN(A22,2048),$C$3,B22)</f>
      </c>
      <c r="T22" s="12">
        <f>_xlfn.LAMBDA(seq_len, q_len, bs, seq_len*bs*($Q$6 + $Q$7)*1000*1000/1024/1024/1024/1024/$N$3/$K$5)(MIN(A22,2048),$C$3,B22)</f>
      </c>
      <c r="U22" s="12">
        <f>_xlfn.LAMBDA(b, m,n,k, 2*b*m*n*k*1000*1000/$N$7/1024/1024/1024/1024/$I$2)($Q$3, B22*$C$3, 128, $Q$7)</f>
      </c>
      <c r="V22" s="12">
        <f>_xlfn.LAMBDA(b,m,n,k,b*(2*m*k+2*m*n+2*n*k)*1000*1000/$N$3/1024/1024/1024/1024/$K$5)($Q$3, B22*$C$3, 128, $Q$7)</f>
      </c>
      <c r="W22" s="12">
        <f>_xlfn.LAMBDA(m,n,k, 2*m*n*k*1000*1000/$N$2/1024/1024/1024/1024/$K$2)(B22*$C$3, $Q$3*128/$F$3, $Q$2)</f>
      </c>
      <c r="X22" s="12">
        <f>_xlfn.LAMBDA(m,n,k,(m*k+2*m*n+n*k)*1000*1000/$N$3/1024/1024/1024/1024/$K$5)(B22*$C$3, $Q$3*128/$F$3, $Q$2)</f>
      </c>
      <c r="Y22" s="12">
        <f>150 + $B22 *$C$3 * 2.3</f>
      </c>
      <c r="Z22" s="12">
        <f>_xlfn.LAMBDA(tp_size, hidden_size, batch_size, 2*batch_size*(tp_size-1)/tp_size*hidden_size*1000*1000/$N$4/1024/1024/1024/$I$6)($F$3, $Q$2,B22*$C$3)</f>
      </c>
      <c r="AA22" s="12">
        <f>_xlfn.LAMBDA(token_size_per_rank, to_nodes,hidden_size, sizeof_dtype, 50 + 4*token_size_per_rank * to_nodes * hidden_size*sizeof_dtype*1000*1000/$N$6/1024/1024/1024/$I$7)(B22*$C$5/$F$3, MIN($F$2,$S$2), $Q$2, 1)</f>
      </c>
      <c r="AB22" s="12">
        <f>_xlfn.LAMBDA(m,n,k, 2*m*n*k*1000*1000/$N$2/1024/1024/1024/1024/$I$3)(C22*$S$2/$F$5,$Q$8*2,$Q$2)</f>
      </c>
      <c r="AC22" s="12">
        <f>_xlfn.LAMBDA(size_of_dtype, experts, ep_size, hidden_size, internal_dim, experts/ep_size*hidden_size*internal_dim*size_of_dtype/$N$3/$K$5/1024/1024/1024/1024*1000*1000)(0.5,$S$3,$F$5,$Q$2,$Q$8*2)</f>
      </c>
      <c r="AD22" s="12">
        <f>_xlfn.LAMBDA(m,n,k, 2*m*n*k*1000*1000/$N$2/1024/1024/1024/1024/$I$3)(C22*$S$2/$F$5,$Q$2,$Q$8)</f>
      </c>
      <c r="AE22" s="12">
        <f>_xlfn.LAMBDA(size_of_dtype, experts, ep_size, hidden_size, internal_dim, experts/ep_size*hidden_size*internal_dim*size_of_dtype/$N$3/$K$5/1024/1024/1024/1024*1000*1000)(0.5,$S$3,$F$5,$Q$8, $Q$2)</f>
      </c>
      <c r="AF22" s="12">
        <f>AA22</f>
      </c>
      <c r="AG22" s="12">
        <f>_xlfn.LAMBDA(tp_size, hidden_size, batch_size, batch_size*(tp_size-1)*hidden_size*1000*1000/$N$4/1024/1024/1024/$I$6)($F$3, $Q$2,B22*$C$3)</f>
      </c>
      <c r="AH22" s="12">
        <f>_xlfn.LAMBDA(seq_len, q_len, bs, 2*seq_len*q_len*bs*2*$Q$3/$F$3*($Q$6 + $Q$7)*1000*1000/1024/1024/1024/1024/$N$5/$I$5)(A22,$C$3,B22)</f>
      </c>
      <c r="AI22" s="12">
        <f>_xlfn.LAMBDA(seq_len, q_len, bs, seq_len*bs*($Q$6 + $Q$7)*1000*1000/1024/1024/1024/1024/$N$3/$K$5)(A22,$C$3,B22)</f>
      </c>
      <c r="AJ22" s="12">
        <f>MAX(D22:E22)+MAX(F22:G22)+MAX(H22:I22)+MAX(J22:K22)+MAX(L22:M22)+MAX(N22:O22)+MAX(P22:Q22)+MAX(R22:S22)+MAX(S22:T22)+MAX(U22:V22)+MAX(W22:X22)+MAX(AB22:AC22)+MAX(AD22:AE22)+SUM(Y22:AA22)+SUM(AF22:AG22)</f>
      </c>
      <c r="AK22" s="12">
        <f>AJ22-MAX(J22:K22)-MAX(L22:M22)-MAX(N22:O22)-MAX(H22:I22)-MAX(S22:T22)+MAX(AH22:AI22)-0.05*AJ22</f>
      </c>
      <c r="AL22" s="12">
        <f>(MAX(AB22:AC22)+MAX(AD22:AE22))/AJ22</f>
      </c>
      <c r="AM22" s="12">
        <f>(MAX(AB22:AC22)+MAX(AD22:AE22))/AK22</f>
      </c>
      <c r="AN22" s="12">
        <f>MAX(S22:T22)/AJ22</f>
      </c>
      <c r="AO22" s="12">
        <f>MAX(AH22:AI22)/AK22</f>
      </c>
      <c r="AP22" s="12">
        <f>AJ22*$Q$9/1000</f>
      </c>
      <c r="AQ22" s="12">
        <f>AK22*$Q$9/1000</f>
      </c>
      <c r="AR22" s="12">
        <f>(AP22+2)/$C$5</f>
      </c>
      <c r="AS22" s="12">
        <f>(AQ22+2)/$C$5</f>
      </c>
      <c r="AT22" s="12">
        <f>B22*1000/AR22/$F$3</f>
      </c>
      <c r="AU22" s="12">
        <f>B22*1000/AS22/$F$3</f>
      </c>
      <c r="AV22" s="13">
        <f>1000000*$N$8/24/60/60/AT22</f>
      </c>
      <c r="AW22" s="13">
        <f>1000000*$N$8/24/60/60/AU22</f>
      </c>
      <c r="AX22" s="13">
        <f>AV22*$C$6</f>
      </c>
      <c r="AY22" s="13">
        <f>AW22*$C$6</f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</row>
    <row r="23">
      <c r="A23" s="4">
        <v>2048</v>
      </c>
      <c r="B23" s="4">
        <f>C23/F4/C3</f>
      </c>
      <c r="C23" s="4">
        <v>640</v>
      </c>
      <c r="D23" s="12">
        <v>10</v>
      </c>
      <c r="E23" s="12">
        <f>_xlfn.LAMBDA(m,n,k,(m*k+2*m*n+n*k)*1000*1000/$N$3/1024/1024/1024/1024/$K$5)(B23*$C$3,$Q$10,$Q$2)</f>
      </c>
      <c r="F23" s="12">
        <f>_xlfn.LAMBDA(m,n,k, 2*m*n*k*1000*1000/$N$2/1024/1024/1024/1024/$I$2)(B23*$C$3, $Q$3*(128+64)/$F$3, $Q$10)</f>
      </c>
      <c r="G23" s="12">
        <f>_xlfn.LAMBDA(m,n,k,(m*k+2*m*n+n*k)*1000*1000/$N$3/1024/1024/1024/1024/$K$5)(B23*$C$3, $Q$3*(128+64)/$F$3, $Q$10)</f>
      </c>
      <c r="H23" s="12">
        <v>15</v>
      </c>
      <c r="I23" s="12">
        <f>_xlfn.LAMBDA(m,n,k,(m*k+2*m*n+n*k)*1000*1000/$N$3/1024/1024/1024/1024/$K$5)(B23*$C$3,$Q$11*$Q$12,$Q$10)</f>
      </c>
      <c r="J23" s="12">
        <v>15</v>
      </c>
      <c r="K23" s="12">
        <f>_xlfn.LAMBDA(m,n,k,(m*k+2*m*n+n*k)*1000*1000/$N$3/1024/1024/1024/1024/$K$5)(B23*$C$3,$Q$11,$Q$2)</f>
      </c>
      <c r="L23" s="12">
        <v>5</v>
      </c>
      <c r="M23" s="12">
        <f>_xlfn.LAMBDA(m,n,k,(2*m*k+2*m*n+2*n*k)*1000*1000/$N$3/1024/1024/1024/1024/$K$5)(B23*$C$3,$Q$12,$Q$2)</f>
      </c>
      <c r="N23" s="12">
        <f>_xlfn.LAMBDA(seq_len, q_len, bs, seq_len*q_len*bs*2*($Q$12*$Q$11/$N$5 + $Q$12 / $N$7)*1000*1000/1024/1024/1024/1024/$K$6)(A23,$C$3,B23)</f>
      </c>
      <c r="O23" s="12">
        <f>_xlfn.LAMBDA(seq_len, q_len, bs, (q_len*bs*$Q$12*$Q$11 + seq_len * bs * $Q$11 + q_len*bs*$Q$12*4)*1000*1000/1024/1024/1024/1024/$N$3/$K$5)(A23,$C$3,B23)</f>
      </c>
      <c r="P23" s="12">
        <f>_xlfn.LAMBDA(b, m,n,k, 2*b*m*n*k*1000*1000/$N$7/1024/1024/1024/1024/$I$2)($Q$3, B23*$C$3, 128, $Q$7)</f>
      </c>
      <c r="Q23" s="12">
        <f>_xlfn.LAMBDA(b,m,n,k,b*(2*m*k+2*m*n+2*n*k)*1000*1000/$N$3/1024/1024/1024/1024/$K$5)($Q$3, B23*$C$3, 128, $Q$7)</f>
      </c>
      <c r="R23" s="12">
        <v>10</v>
      </c>
      <c r="S23" s="12">
        <f>_xlfn.LAMBDA(seq_len, q_len, bs, 2*seq_len*q_len*bs*2*$Q$3/$F$3*($Q$6 + $Q$7)*1000*1000/1024/1024/1024/1024/$N$5/$K$6)(MIN(A23,2048),$C$3,B23)</f>
      </c>
      <c r="T23" s="12">
        <f>_xlfn.LAMBDA(seq_len, q_len, bs, seq_len*bs*($Q$6 + $Q$7)*1000*1000/1024/1024/1024/1024/$N$3/$K$5)(MIN(A23,2048),$C$3,B23)</f>
      </c>
      <c r="U23" s="12">
        <f>_xlfn.LAMBDA(b, m,n,k, 2*b*m*n*k*1000*1000/$N$7/1024/1024/1024/1024/$I$2)($Q$3, B23*$C$3, 128, $Q$7)</f>
      </c>
      <c r="V23" s="12">
        <f>_xlfn.LAMBDA(b,m,n,k,b*(2*m*k+2*m*n+2*n*k)*1000*1000/$N$3/1024/1024/1024/1024/$K$5)($Q$3, B23*$C$3, 128, $Q$7)</f>
      </c>
      <c r="W23" s="12">
        <f>_xlfn.LAMBDA(m,n,k, 2*m*n*k*1000*1000/$N$2/1024/1024/1024/1024/$K$2)(B23*$C$3, $Q$3*128/$F$3, $Q$2)</f>
      </c>
      <c r="X23" s="12">
        <f>_xlfn.LAMBDA(m,n,k,(m*k+2*m*n+n*k)*1000*1000/$N$3/1024/1024/1024/1024/$K$5)(B23*$C$3, $Q$3*128/$F$3, $Q$2)</f>
      </c>
      <c r="Y23" s="12">
        <f>150 + $B23 *$C$3 * 2.3</f>
      </c>
      <c r="Z23" s="12">
        <f>_xlfn.LAMBDA(tp_size, hidden_size, batch_size, 2*batch_size*(tp_size-1)/tp_size*hidden_size*1000*1000/$N$4/1024/1024/1024/$I$6)($F$3, $Q$2,B23*$C$3)</f>
      </c>
      <c r="AA23" s="12">
        <f>_xlfn.LAMBDA(token_size_per_rank, to_nodes,hidden_size, sizeof_dtype, 50 + 4*token_size_per_rank * to_nodes * hidden_size*sizeof_dtype*1000*1000/$N$6/1024/1024/1024/$I$7)(B23*$C$5/$F$3, MIN($F$2,$S$2), $Q$2, 1)</f>
      </c>
      <c r="AB23" s="12">
        <f>_xlfn.LAMBDA(m,n,k, 2*m*n*k*1000*1000/$N$2/1024/1024/1024/1024/$I$3)(C23*$S$2/$F$5,$Q$8*2,$Q$2)</f>
      </c>
      <c r="AC23" s="12">
        <f>_xlfn.LAMBDA(size_of_dtype, experts, ep_size, hidden_size, internal_dim, experts/ep_size*hidden_size*internal_dim*size_of_dtype/$N$3/$K$5/1024/1024/1024/1024*1000*1000)(0.5,$S$3,$F$5,$Q$2,$Q$8*2)</f>
      </c>
      <c r="AD23" s="12">
        <f>_xlfn.LAMBDA(m,n,k, 2*m*n*k*1000*1000/$N$2/1024/1024/1024/1024/$I$3)(C23*$S$2/$F$5,$Q$2,$Q$8)</f>
      </c>
      <c r="AE23" s="12">
        <f>_xlfn.LAMBDA(size_of_dtype, experts, ep_size, hidden_size, internal_dim, experts/ep_size*hidden_size*internal_dim*size_of_dtype/$N$3/$K$5/1024/1024/1024/1024*1000*1000)(0.5,$S$3,$F$5,$Q$8, $Q$2)</f>
      </c>
      <c r="AF23" s="12">
        <f>AA23</f>
      </c>
      <c r="AG23" s="12">
        <f>_xlfn.LAMBDA(tp_size, hidden_size, batch_size, batch_size*(tp_size-1)*hidden_size*1000*1000/$N$4/1024/1024/1024/$I$6)($F$3, $Q$2,B23*$C$3)</f>
      </c>
      <c r="AH23" s="12">
        <f>_xlfn.LAMBDA(seq_len, q_len, bs, 2*seq_len*q_len*bs*2*$Q$3/$F$3*($Q$6 + $Q$7)*1000*1000/1024/1024/1024/1024/$N$5/$I$5)(A23,$C$3,B23)</f>
      </c>
      <c r="AI23" s="12">
        <f>_xlfn.LAMBDA(seq_len, q_len, bs, seq_len*bs*($Q$6 + $Q$7)*1000*1000/1024/1024/1024/1024/$N$3/$K$5)(A23,$C$3,B23)</f>
      </c>
      <c r="AJ23" s="12">
        <f>MAX(D23:E23)+MAX(F23:G23)+MAX(H23:I23)+MAX(J23:K23)+MAX(L23:M23)+MAX(N23:O23)+MAX(P23:Q23)+MAX(R23:S23)+MAX(S23:T23)+MAX(U23:V23)+MAX(W23:X23)+MAX(AB23:AC23)+MAX(AD23:AE23)+SUM(Y23:AA23)+SUM(AF23:AG23)</f>
      </c>
      <c r="AK23" s="12">
        <f>AJ23-MAX(J23:K23)-MAX(L23:M23)-MAX(N23:O23)-MAX(H23:I23)-MAX(S23:T23)+MAX(AH23:AI23)-0.05*AJ23</f>
      </c>
      <c r="AL23" s="12">
        <f>(MAX(AB23:AC23)+MAX(AD23:AE23))/AJ23</f>
      </c>
      <c r="AM23" s="12">
        <f>(MAX(AB23:AC23)+MAX(AD23:AE23))/AK23</f>
      </c>
      <c r="AN23" s="12">
        <f>MAX(S23:T23)/AJ23</f>
      </c>
      <c r="AO23" s="12">
        <f>MAX(AH23:AI23)/AK23</f>
      </c>
      <c r="AP23" s="12">
        <f>AJ23*$Q$9/1000</f>
      </c>
      <c r="AQ23" s="12">
        <f>AK23*$Q$9/1000</f>
      </c>
      <c r="AR23" s="12">
        <f>(AP23+2)/$C$5</f>
      </c>
      <c r="AS23" s="12">
        <f>(AQ23+2)/$C$5</f>
      </c>
      <c r="AT23" s="12">
        <f>B23*1000/AR23/$F$3</f>
      </c>
      <c r="AU23" s="12">
        <f>B23*1000/AS23/$F$3</f>
      </c>
      <c r="AV23" s="13">
        <f>1000000*$N$8/24/60/60/AT23</f>
      </c>
      <c r="AW23" s="13">
        <f>1000000*$N$8/24/60/60/AU23</f>
      </c>
      <c r="AX23" s="13">
        <f>AV23*$C$6</f>
      </c>
      <c r="AY23" s="13">
        <f>AW23*$C$6</f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</row>
    <row r="24">
      <c r="A24" s="4">
        <v>3072</v>
      </c>
      <c r="B24" s="4">
        <f>C24/F4/C3</f>
      </c>
      <c r="C24" s="4">
        <v>480</v>
      </c>
      <c r="D24" s="12">
        <v>10</v>
      </c>
      <c r="E24" s="12">
        <f>_xlfn.LAMBDA(m,n,k,(m*k+2*m*n+n*k)*1000*1000/$N$3/1024/1024/1024/1024/$K$5)(B24*$C$3,$Q$10,$Q$2)</f>
      </c>
      <c r="F24" s="12">
        <f>_xlfn.LAMBDA(m,n,k, 2*m*n*k*1000*1000/$N$2/1024/1024/1024/1024/$I$2)(B24*$C$3, $Q$3*(128+64)/$F$3, $Q$10)</f>
      </c>
      <c r="G24" s="12">
        <f>_xlfn.LAMBDA(m,n,k,(m*k+2*m*n+n*k)*1000*1000/$N$3/1024/1024/1024/1024/$K$5)(B24*$C$3, $Q$3*(128+64)/$F$3, $Q$10)</f>
      </c>
      <c r="H24" s="12">
        <v>15</v>
      </c>
      <c r="I24" s="12">
        <f>_xlfn.LAMBDA(m,n,k,(m*k+2*m*n+n*k)*1000*1000/$N$3/1024/1024/1024/1024/$K$5)(B24*$C$3,$Q$11*$Q$12,$Q$10)</f>
      </c>
      <c r="J24" s="12">
        <v>15</v>
      </c>
      <c r="K24" s="12">
        <f>_xlfn.LAMBDA(m,n,k,(m*k+2*m*n+n*k)*1000*1000/$N$3/1024/1024/1024/1024/$K$5)(B24*$C$3,$Q$11,$Q$2)</f>
      </c>
      <c r="L24" s="12">
        <v>5</v>
      </c>
      <c r="M24" s="12">
        <f>_xlfn.LAMBDA(m,n,k,(2*m*k+2*m*n+2*n*k)*1000*1000/$N$3/1024/1024/1024/1024/$K$5)(B24*$C$3,$Q$12,$Q$2)</f>
      </c>
      <c r="N24" s="12">
        <f>_xlfn.LAMBDA(seq_len, q_len, bs, seq_len*q_len*bs*2*($Q$12*$Q$11/$N$5 + $Q$12 / $N$7)*1000*1000/1024/1024/1024/1024/$K$6)(A24,$C$3,B24)</f>
      </c>
      <c r="O24" s="12">
        <f>_xlfn.LAMBDA(seq_len, q_len, bs, (q_len*bs*$Q$12*$Q$11 + seq_len * bs * $Q$11 + q_len*bs*$Q$12*4)*1000*1000/1024/1024/1024/1024/$N$3/$K$5)(A24,$C$3,B24)</f>
      </c>
      <c r="P24" s="12">
        <f>_xlfn.LAMBDA(b, m,n,k, 2*b*m*n*k*1000*1000/$N$7/1024/1024/1024/1024/$I$2)($Q$3, B24*$C$3, 128, $Q$7)</f>
      </c>
      <c r="Q24" s="12">
        <f>_xlfn.LAMBDA(b,m,n,k,b*(2*m*k+2*m*n+2*n*k)*1000*1000/$N$3/1024/1024/1024/1024/$K$5)($Q$3, B24*$C$3, 128, $Q$7)</f>
      </c>
      <c r="R24" s="12">
        <v>10</v>
      </c>
      <c r="S24" s="12">
        <f>_xlfn.LAMBDA(seq_len, q_len, bs, 2*seq_len*q_len*bs*2*$Q$3/$F$3*($Q$6 + $Q$7)*1000*1000/1024/1024/1024/1024/$N$5/$K$6)(MIN(A24,2048),$C$3,B24)</f>
      </c>
      <c r="T24" s="12">
        <f>_xlfn.LAMBDA(seq_len, q_len, bs, seq_len*bs*($Q$6 + $Q$7)*1000*1000/1024/1024/1024/1024/$N$3/$K$5)(MIN(A24,2048),$C$3,B24)</f>
      </c>
      <c r="U24" s="12">
        <f>_xlfn.LAMBDA(b, m,n,k, 2*b*m*n*k*1000*1000/$N$7/1024/1024/1024/1024/$I$2)($Q$3, B24*$C$3, 128, $Q$7)</f>
      </c>
      <c r="V24" s="12">
        <f>_xlfn.LAMBDA(b,m,n,k,b*(2*m*k+2*m*n+2*n*k)*1000*1000/$N$3/1024/1024/1024/1024/$K$5)($Q$3, B24*$C$3, 128, $Q$7)</f>
      </c>
      <c r="W24" s="12">
        <f>_xlfn.LAMBDA(m,n,k, 2*m*n*k*1000*1000/$N$2/1024/1024/1024/1024/$K$2)(B24*$C$3, $Q$3*128/$F$3, $Q$2)</f>
      </c>
      <c r="X24" s="12">
        <f>_xlfn.LAMBDA(m,n,k,(m*k+2*m*n+n*k)*1000*1000/$N$3/1024/1024/1024/1024/$K$5)(B24*$C$3, $Q$3*128/$F$3, $Q$2)</f>
      </c>
      <c r="Y24" s="12">
        <f>150 + $B24 *$C$3 * 2.3</f>
      </c>
      <c r="Z24" s="12">
        <f>_xlfn.LAMBDA(tp_size, hidden_size, batch_size, 2*batch_size*(tp_size-1)/tp_size*hidden_size*1000*1000/$N$4/1024/1024/1024/$I$6)($F$3, $Q$2,B24*$C$3)</f>
      </c>
      <c r="AA24" s="12">
        <f>_xlfn.LAMBDA(token_size_per_rank, to_nodes,hidden_size, sizeof_dtype, 50 + 4*token_size_per_rank * to_nodes * hidden_size*sizeof_dtype*1000*1000/$N$6/1024/1024/1024/$I$7)(B24*$C$5/$F$3, MIN($F$2,$S$2), $Q$2, 1)</f>
      </c>
      <c r="AB24" s="12">
        <f>_xlfn.LAMBDA(m,n,k, 2*m*n*k*1000*1000/$N$2/1024/1024/1024/1024/$I$3)(C24*$S$2/$F$5,$Q$8*2,$Q$2)</f>
      </c>
      <c r="AC24" s="12">
        <f>_xlfn.LAMBDA(size_of_dtype, experts, ep_size, hidden_size, internal_dim, experts/ep_size*hidden_size*internal_dim*size_of_dtype/$N$3/$K$5/1024/1024/1024/1024*1000*1000)(0.5,$S$3,$F$5,$Q$2,$Q$8*2)</f>
      </c>
      <c r="AD24" s="12">
        <f>_xlfn.LAMBDA(m,n,k, 2*m*n*k*1000*1000/$N$2/1024/1024/1024/1024/$I$3)(C24*$S$2/$F$5,$Q$2,$Q$8)</f>
      </c>
      <c r="AE24" s="12">
        <f>_xlfn.LAMBDA(size_of_dtype, experts, ep_size, hidden_size, internal_dim, experts/ep_size*hidden_size*internal_dim*size_of_dtype/$N$3/$K$5/1024/1024/1024/1024*1000*1000)(0.5,$S$3,$F$5,$Q$8, $Q$2)</f>
      </c>
      <c r="AF24" s="12">
        <f>AA24</f>
      </c>
      <c r="AG24" s="12">
        <f>_xlfn.LAMBDA(tp_size, hidden_size, batch_size, batch_size*(tp_size-1)*hidden_size*1000*1000/$N$4/1024/1024/1024/$I$6)($F$3, $Q$2,B24*$C$3)</f>
      </c>
      <c r="AH24" s="12">
        <f>_xlfn.LAMBDA(seq_len, q_len, bs, 2*seq_len*q_len*bs*2*$Q$3/$F$3*($Q$6 + $Q$7)*1000*1000/1024/1024/1024/1024/$N$5/$I$5)(A24,$C$3,B24)</f>
      </c>
      <c r="AI24" s="12">
        <f>_xlfn.LAMBDA(seq_len, q_len, bs, seq_len*bs*($Q$6 + $Q$7)*1000*1000/1024/1024/1024/1024/$N$3/$K$5)(A24,$C$3,B24)</f>
      </c>
      <c r="AJ24" s="12">
        <f>MAX(D24:E24)+MAX(F24:G24)+MAX(H24:I24)+MAX(J24:K24)+MAX(L24:M24)+MAX(N24:O24)+MAX(P24:Q24)+MAX(R24:S24)+MAX(S24:T24)+MAX(U24:V24)+MAX(W24:X24)+MAX(AB24:AC24)+MAX(AD24:AE24)+SUM(Y24:AA24)+SUM(AF24:AG24)</f>
      </c>
      <c r="AK24" s="12">
        <f>AJ24-MAX(J24:K24)-MAX(L24:M24)-MAX(N24:O24)-MAX(H24:I24)-MAX(S24:T24)+MAX(AH24:AI24)-0.05*AJ24</f>
      </c>
      <c r="AL24" s="12">
        <f>(MAX(AB24:AC24)+MAX(AD24:AE24))/AJ24</f>
      </c>
      <c r="AM24" s="12">
        <f>(MAX(AB24:AC24)+MAX(AD24:AE24))/AK24</f>
      </c>
      <c r="AN24" s="12">
        <f>MAX(S24:T24)/AJ24</f>
      </c>
      <c r="AO24" s="12">
        <f>MAX(AH24:AI24)/AK24</f>
      </c>
      <c r="AP24" s="12">
        <f>AJ24*$Q$9/1000</f>
      </c>
      <c r="AQ24" s="12">
        <f>AK24*$Q$9/1000</f>
      </c>
      <c r="AR24" s="12">
        <f>(AP24+2)/$C$5</f>
      </c>
      <c r="AS24" s="12">
        <f>(AQ24+2)/$C$5</f>
      </c>
      <c r="AT24" s="12">
        <f>B24*1000/AR24/$F$3</f>
      </c>
      <c r="AU24" s="12">
        <f>B24*1000/AS24/$F$3</f>
      </c>
      <c r="AV24" s="13">
        <f>1000000*$N$8/24/60/60/AT24</f>
      </c>
      <c r="AW24" s="13">
        <f>1000000*$N$8/24/60/60/AU24</f>
      </c>
      <c r="AX24" s="13">
        <f>AV24*$C$6</f>
      </c>
      <c r="AY24" s="13">
        <f>AW24*$C$6</f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</row>
    <row r="25">
      <c r="A25" s="4">
        <v>4096</v>
      </c>
      <c r="B25" s="4">
        <f>C25/F4/C3</f>
      </c>
      <c r="C25" s="4">
        <v>480</v>
      </c>
      <c r="D25" s="12">
        <v>10</v>
      </c>
      <c r="E25" s="12">
        <f>_xlfn.LAMBDA(m,n,k,(m*k+2*m*n+n*k)*1000*1000/$N$3/1024/1024/1024/1024/$K$5)(B25*$C$3,$Q$10,$Q$2)</f>
      </c>
      <c r="F25" s="12">
        <f>_xlfn.LAMBDA(m,n,k, 2*m*n*k*1000*1000/$N$2/1024/1024/1024/1024/$I$2)(B25*$C$3, $Q$3*(128+64)/$F$3, $Q$10)</f>
      </c>
      <c r="G25" s="12">
        <f>_xlfn.LAMBDA(m,n,k,(m*k+2*m*n+n*k)*1000*1000/$N$3/1024/1024/1024/1024/$K$5)(B25*$C$3, $Q$3*(128+64)/$F$3, $Q$10)</f>
      </c>
      <c r="H25" s="12">
        <v>15</v>
      </c>
      <c r="I25" s="12">
        <f>_xlfn.LAMBDA(m,n,k,(m*k+2*m*n+n*k)*1000*1000/$N$3/1024/1024/1024/1024/$K$5)(B25*$C$3,$Q$11*$Q$12,$Q$10)</f>
      </c>
      <c r="J25" s="12">
        <v>15</v>
      </c>
      <c r="K25" s="12">
        <f>_xlfn.LAMBDA(m,n,k,(m*k+2*m*n+n*k)*1000*1000/$N$3/1024/1024/1024/1024/$K$5)(B25*$C$3,$Q$11,$Q$2)</f>
      </c>
      <c r="L25" s="12">
        <v>5</v>
      </c>
      <c r="M25" s="12">
        <f>_xlfn.LAMBDA(m,n,k,(2*m*k+2*m*n+2*n*k)*1000*1000/$N$3/1024/1024/1024/1024/$K$5)(B25*$C$3,$Q$12,$Q$2)</f>
      </c>
      <c r="N25" s="12">
        <f>_xlfn.LAMBDA(seq_len, q_len, bs, seq_len*q_len*bs*2*($Q$12*$Q$11/$N$5 + $Q$12 / $N$7)*1000*1000/1024/1024/1024/1024/$K$6)(A25,$C$3,B25)</f>
      </c>
      <c r="O25" s="12">
        <f>_xlfn.LAMBDA(seq_len, q_len, bs, (q_len*bs*$Q$12*$Q$11 + seq_len * bs * $Q$11 + q_len*bs*$Q$12*4)*1000*1000/1024/1024/1024/1024/$N$3/$K$5)(A25,$C$3,B25)</f>
      </c>
      <c r="P25" s="12">
        <f>_xlfn.LAMBDA(b, m,n,k, 2*b*m*n*k*1000*1000/$N$7/1024/1024/1024/1024/$I$2)($Q$3, B25*$C$3, 128, $Q$7)</f>
      </c>
      <c r="Q25" s="12">
        <f>_xlfn.LAMBDA(b,m,n,k,b*(2*m*k+2*m*n+2*n*k)*1000*1000/$N$3/1024/1024/1024/1024/$K$5)($Q$3, B25*$C$3, 128, $Q$7)</f>
      </c>
      <c r="R25" s="12">
        <v>10</v>
      </c>
      <c r="S25" s="12">
        <f>_xlfn.LAMBDA(seq_len, q_len, bs, 2*seq_len*q_len*bs*2*$Q$3/$F$3*($Q$6 + $Q$7)*1000*1000/1024/1024/1024/1024/$N$5/$K$6)(MIN(A25,2048),$C$3,B25)</f>
      </c>
      <c r="T25" s="12">
        <f>_xlfn.LAMBDA(seq_len, q_len, bs, seq_len*bs*($Q$6 + $Q$7)*1000*1000/1024/1024/1024/1024/$N$3/$K$5)(MIN(A25,2048),$C$3,B25)</f>
      </c>
      <c r="U25" s="12">
        <f>_xlfn.LAMBDA(b, m,n,k, 2*b*m*n*k*1000*1000/$N$7/1024/1024/1024/1024/$I$2)($Q$3, B25*$C$3, 128, $Q$7)</f>
      </c>
      <c r="V25" s="12">
        <f>_xlfn.LAMBDA(b,m,n,k,b*(2*m*k+2*m*n+2*n*k)*1000*1000/$N$3/1024/1024/1024/1024/$K$5)($Q$3, B25*$C$3, 128, $Q$7)</f>
      </c>
      <c r="W25" s="12">
        <f>_xlfn.LAMBDA(m,n,k, 2*m*n*k*1000*1000/$N$2/1024/1024/1024/1024/$K$2)(B25*$C$3, $Q$3*128/$F$3, $Q$2)</f>
      </c>
      <c r="X25" s="12">
        <f>_xlfn.LAMBDA(m,n,k,(m*k+2*m*n+n*k)*1000*1000/$N$3/1024/1024/1024/1024/$K$5)(B25*$C$3, $Q$3*128/$F$3, $Q$2)</f>
      </c>
      <c r="Y25" s="12">
        <f>150 + $B25 *$C$3 * 2.3</f>
      </c>
      <c r="Z25" s="12">
        <f>_xlfn.LAMBDA(tp_size, hidden_size, batch_size, 2*batch_size*(tp_size-1)/tp_size*hidden_size*1000*1000/$N$4/1024/1024/1024/$I$6)($F$3, $Q$2,B25*$C$3)</f>
      </c>
      <c r="AA25" s="12">
        <f>_xlfn.LAMBDA(token_size_per_rank, to_nodes,hidden_size, sizeof_dtype, 50 + 4*token_size_per_rank * to_nodes * hidden_size*sizeof_dtype*1000*1000/$N$6/1024/1024/1024/$I$7)(B25*$C$5/$F$3, MIN($F$2,$S$2), $Q$2, 1)</f>
      </c>
      <c r="AB25" s="12">
        <f>_xlfn.LAMBDA(m,n,k, 2*m*n*k*1000*1000/$N$2/1024/1024/1024/1024/$I$3)(C25*$S$2/$F$5,$Q$8*2,$Q$2)</f>
      </c>
      <c r="AC25" s="12">
        <f>_xlfn.LAMBDA(size_of_dtype, experts, ep_size, hidden_size, internal_dim, experts/ep_size*hidden_size*internal_dim*size_of_dtype/$N$3/$K$5/1024/1024/1024/1024*1000*1000)(0.5,$S$3,$F$5,$Q$2,$Q$8*2)</f>
      </c>
      <c r="AD25" s="12">
        <f>_xlfn.LAMBDA(m,n,k, 2*m*n*k*1000*1000/$N$2/1024/1024/1024/1024/$I$3)(C25*$S$2/$F$5,$Q$2,$Q$8)</f>
      </c>
      <c r="AE25" s="12">
        <f>_xlfn.LAMBDA(size_of_dtype, experts, ep_size, hidden_size, internal_dim, experts/ep_size*hidden_size*internal_dim*size_of_dtype/$N$3/$K$5/1024/1024/1024/1024*1000*1000)(0.5,$S$3,$F$5,$Q$8, $Q$2)</f>
      </c>
      <c r="AF25" s="12">
        <f>AA25</f>
      </c>
      <c r="AG25" s="12">
        <f>_xlfn.LAMBDA(tp_size, hidden_size, batch_size, batch_size*(tp_size-1)*hidden_size*1000*1000/$N$4/1024/1024/1024/$I$6)($F$3, $Q$2,B25*$C$3)</f>
      </c>
      <c r="AH25" s="12">
        <f>_xlfn.LAMBDA(seq_len, q_len, bs, 2*seq_len*q_len*bs*2*$Q$3/$F$3*($Q$6 + $Q$7)*1000*1000/1024/1024/1024/1024/$N$5/$I$5)(A25,$C$3,B25)</f>
      </c>
      <c r="AI25" s="12">
        <f>_xlfn.LAMBDA(seq_len, q_len, bs, seq_len*bs*($Q$6 + $Q$7)*1000*1000/1024/1024/1024/1024/$N$3/$K$5)(A25,$C$3,B25)</f>
      </c>
      <c r="AJ25" s="12">
        <f>MAX(D25:E25)+MAX(F25:G25)+MAX(H25:I25)+MAX(J25:K25)+MAX(L25:M25)+MAX(N25:O25)+MAX(P25:Q25)+MAX(R25:S25)+MAX(S25:T25)+MAX(U25:V25)+MAX(W25:X25)+MAX(AB25:AC25)+MAX(AD25:AE25)+SUM(Y25:AA25)+SUM(AF25:AG25)</f>
      </c>
      <c r="AK25" s="12">
        <f>AJ25-MAX(J25:K25)-MAX(L25:M25)-MAX(N25:O25)-MAX(H25:I25)-MAX(S25:T25)+MAX(AH25:AI25)-0.05*AJ25</f>
      </c>
      <c r="AL25" s="12">
        <f>(MAX(AB25:AC25)+MAX(AD25:AE25))/AJ25</f>
      </c>
      <c r="AM25" s="12">
        <f>(MAX(AB25:AC25)+MAX(AD25:AE25))/AK25</f>
      </c>
      <c r="AN25" s="12">
        <f>MAX(S25:T25)/AJ25</f>
      </c>
      <c r="AO25" s="12">
        <f>MAX(AH25:AI25)/AK25</f>
      </c>
      <c r="AP25" s="12">
        <f>AJ25*$Q$9/1000</f>
      </c>
      <c r="AQ25" s="12">
        <f>AK25*$Q$9/1000</f>
      </c>
      <c r="AR25" s="12">
        <f>(AP25+2)/$C$5</f>
      </c>
      <c r="AS25" s="12">
        <f>(AQ25+2)/$C$5</f>
      </c>
      <c r="AT25" s="12">
        <f>B25*1000/AR25/$F$3</f>
      </c>
      <c r="AU25" s="12">
        <f>B25*1000/AS25/$F$3</f>
      </c>
      <c r="AV25" s="13">
        <f>1000000*$N$8/24/60/60/AT25</f>
      </c>
      <c r="AW25" s="13">
        <f>1000000*$N$8/24/60/60/AU25</f>
      </c>
      <c r="AX25" s="13">
        <f>AV25*$C$6</f>
      </c>
      <c r="AY25" s="13">
        <f>AW25*$C$6</f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</row>
    <row r="26">
      <c r="A26" s="4">
        <v>8192</v>
      </c>
      <c r="B26" s="4">
        <f>C26/F4/C3</f>
      </c>
      <c r="C26" s="4">
        <v>480</v>
      </c>
      <c r="D26" s="12">
        <v>10</v>
      </c>
      <c r="E26" s="12">
        <f>_xlfn.LAMBDA(m,n,k,(m*k+2*m*n+n*k)*1000*1000/$N$3/1024/1024/1024/1024/$K$5)(B26*$C$3,$Q$10,$Q$2)</f>
      </c>
      <c r="F26" s="12">
        <f>_xlfn.LAMBDA(m,n,k, 2*m*n*k*1000*1000/$N$2/1024/1024/1024/1024/$I$2)(B26*$C$3, $Q$3*(128+64)/$F$3, $Q$10)</f>
      </c>
      <c r="G26" s="12">
        <f>_xlfn.LAMBDA(m,n,k,(m*k+2*m*n+n*k)*1000*1000/$N$3/1024/1024/1024/1024/$K$5)(B26*$C$3, $Q$3*(128+64)/$F$3, $Q$10)</f>
      </c>
      <c r="H26" s="12">
        <v>15</v>
      </c>
      <c r="I26" s="12">
        <f>_xlfn.LAMBDA(m,n,k,(m*k+2*m*n+n*k)*1000*1000/$N$3/1024/1024/1024/1024/$K$5)(B26*$C$3,$Q$11*$Q$12,$Q$10)</f>
      </c>
      <c r="J26" s="12">
        <v>15</v>
      </c>
      <c r="K26" s="12">
        <f>_xlfn.LAMBDA(m,n,k,(m*k+2*m*n+n*k)*1000*1000/$N$3/1024/1024/1024/1024/$K$5)(B26*$C$3,$Q$11,$Q$2)</f>
      </c>
      <c r="L26" s="12">
        <v>5</v>
      </c>
      <c r="M26" s="12">
        <f>_xlfn.LAMBDA(m,n,k,(2*m*k+2*m*n+2*n*k)*1000*1000/$N$3/1024/1024/1024/1024/$K$5)(B26*$C$3,$Q$12,$Q$2)</f>
      </c>
      <c r="N26" s="12">
        <f>_xlfn.LAMBDA(seq_len, q_len, bs, seq_len*q_len*bs*2*($Q$12*$Q$11/$N$5 + $Q$12 / $N$7)*1000*1000/1024/1024/1024/1024/$K$6)(A26,$C$3,B26)</f>
      </c>
      <c r="O26" s="12">
        <f>_xlfn.LAMBDA(seq_len, q_len, bs, (q_len*bs*$Q$12*$Q$11 + seq_len * bs * $Q$11 + q_len*bs*$Q$12*4)*1000*1000/1024/1024/1024/1024/$N$3/$K$5)(A26,$C$3,B26)</f>
      </c>
      <c r="P26" s="12">
        <f>_xlfn.LAMBDA(b, m,n,k, 2*b*m*n*k*1000*1000/$N$7/1024/1024/1024/1024/$I$2)($Q$3, B26*$C$3, 128, $Q$7)</f>
      </c>
      <c r="Q26" s="12">
        <f>_xlfn.LAMBDA(b,m,n,k,b*(2*m*k+2*m*n+2*n*k)*1000*1000/$N$3/1024/1024/1024/1024/$K$5)($Q$3, B26*$C$3, 128, $Q$7)</f>
      </c>
      <c r="R26" s="12">
        <v>10</v>
      </c>
      <c r="S26" s="12">
        <f>_xlfn.LAMBDA(seq_len, q_len, bs, 2*seq_len*q_len*bs*2*$Q$3/$F$3*($Q$6 + $Q$7)*1000*1000/1024/1024/1024/1024/$N$5/$K$6)(MIN(A26,2048),$C$3,B26)</f>
      </c>
      <c r="T26" s="12">
        <f>_xlfn.LAMBDA(seq_len, q_len, bs, seq_len*bs*($Q$6 + $Q$7)*1000*1000/1024/1024/1024/1024/$N$3/$K$5)(MIN(A26,2048),$C$3,B26)</f>
      </c>
      <c r="U26" s="12">
        <f>_xlfn.LAMBDA(b, m,n,k, 2*b*m*n*k*1000*1000/$N$7/1024/1024/1024/1024/$I$2)($Q$3, B26*$C$3, 128, $Q$7)</f>
      </c>
      <c r="V26" s="12">
        <f>_xlfn.LAMBDA(b,m,n,k,b*(2*m*k+2*m*n+2*n*k)*1000*1000/$N$3/1024/1024/1024/1024/$K$5)($Q$3, B26*$C$3, 128, $Q$7)</f>
      </c>
      <c r="W26" s="12">
        <f>_xlfn.LAMBDA(m,n,k, 2*m*n*k*1000*1000/$N$2/1024/1024/1024/1024/$K$2)(B26*$C$3, $Q$3*128/$F$3, $Q$2)</f>
      </c>
      <c r="X26" s="12">
        <f>_xlfn.LAMBDA(m,n,k,(m*k+2*m*n+n*k)*1000*1000/$N$3/1024/1024/1024/1024/$K$5)(B26*$C$3, $Q$3*128/$F$3, $Q$2)</f>
      </c>
      <c r="Y26" s="12">
        <f>150 + $B26 *$C$3 * 2.3</f>
      </c>
      <c r="Z26" s="12">
        <f>_xlfn.LAMBDA(tp_size, hidden_size, batch_size, 2*batch_size*(tp_size-1)/tp_size*hidden_size*1000*1000/$N$4/1024/1024/1024/$I$6)($F$3, $Q$2,B26*$C$3)</f>
      </c>
      <c r="AA26" s="12">
        <f>_xlfn.LAMBDA(token_size_per_rank, to_nodes,hidden_size, sizeof_dtype, 50 + 4*token_size_per_rank * to_nodes * hidden_size*sizeof_dtype*1000*1000/$N$6/1024/1024/1024/$I$7)(B26*$C$5/$F$3, MIN($F$2,$S$2), $Q$2, 1)</f>
      </c>
      <c r="AB26" s="12">
        <f>_xlfn.LAMBDA(m,n,k, 2*m*n*k*1000*1000/$N$2/1024/1024/1024/1024/$I$3)(C26*$S$2/$F$5,$Q$8*2,$Q$2)</f>
      </c>
      <c r="AC26" s="12">
        <f>_xlfn.LAMBDA(size_of_dtype, experts, ep_size, hidden_size, internal_dim, experts/ep_size*hidden_size*internal_dim*size_of_dtype/$N$3/$K$5/1024/1024/1024/1024*1000*1000)(0.5,$S$3,$F$5,$Q$2,$Q$8*2)</f>
      </c>
      <c r="AD26" s="12">
        <f>_xlfn.LAMBDA(m,n,k, 2*m*n*k*1000*1000/$N$2/1024/1024/1024/1024/$I$3)(C26*$S$2/$F$5,$Q$2,$Q$8)</f>
      </c>
      <c r="AE26" s="12">
        <f>_xlfn.LAMBDA(size_of_dtype, experts, ep_size, hidden_size, internal_dim, experts/ep_size*hidden_size*internal_dim*size_of_dtype/$N$3/$K$5/1024/1024/1024/1024*1000*1000)(0.5,$S$3,$F$5,$Q$8, $Q$2)</f>
      </c>
      <c r="AF26" s="12">
        <f>AA26</f>
      </c>
      <c r="AG26" s="12">
        <f>_xlfn.LAMBDA(tp_size, hidden_size, batch_size, batch_size*(tp_size-1)*hidden_size*1000*1000/$N$4/1024/1024/1024/$I$6)($F$3, $Q$2,B26*$C$3)</f>
      </c>
      <c r="AH26" s="12">
        <f>_xlfn.LAMBDA(seq_len, q_len, bs, 2*seq_len*q_len*bs*2*$Q$3/$F$3*($Q$6 + $Q$7)*1000*1000/1024/1024/1024/1024/$N$5/$I$5)(A26,$C$3,B26)</f>
      </c>
      <c r="AI26" s="12">
        <f>_xlfn.LAMBDA(seq_len, q_len, bs, seq_len*bs*($Q$6 + $Q$7)*1000*1000/1024/1024/1024/1024/$N$3/$K$5)(A26,$C$3,B26)</f>
      </c>
      <c r="AJ26" s="12">
        <f>MAX(D26:E26)+MAX(F26:G26)+MAX(H26:I26)+MAX(J26:K26)+MAX(L26:M26)+MAX(N26:O26)+MAX(P26:Q26)+MAX(R26:S26)+MAX(S26:T26)+MAX(U26:V26)+MAX(W26:X26)+MAX(AB26:AC26)+MAX(AD26:AE26)+SUM(Y26:AA26)+SUM(AF26:AG26)</f>
      </c>
      <c r="AK26" s="12">
        <f>AJ26-MAX(J26:K26)-MAX(L26:M26)-MAX(N26:O26)-MAX(H26:I26)-MAX(S26:T26)+MAX(AH26:AI26)-0.05*AJ26</f>
      </c>
      <c r="AL26" s="12">
        <f>(MAX(AB26:AC26)+MAX(AD26:AE26))/AJ26</f>
      </c>
      <c r="AM26" s="12">
        <f>(MAX(AB26:AC26)+MAX(AD26:AE26))/AK26</f>
      </c>
      <c r="AN26" s="12">
        <f>MAX(S26:T26)/AJ26</f>
      </c>
      <c r="AO26" s="12">
        <f>MAX(AH26:AI26)/AK26</f>
      </c>
      <c r="AP26" s="12">
        <f>AJ26*$Q$9/1000</f>
      </c>
      <c r="AQ26" s="12">
        <f>AK26*$Q$9/1000</f>
      </c>
      <c r="AR26" s="12">
        <f>(AP26+2)/$C$5</f>
      </c>
      <c r="AS26" s="12">
        <f>(AQ26+2)/$C$5</f>
      </c>
      <c r="AT26" s="12">
        <f>B26*1000/AR26/$F$3</f>
      </c>
      <c r="AU26" s="12">
        <f>B26*1000/AS26/$F$3</f>
      </c>
      <c r="AV26" s="13">
        <f>1000000*$N$8/24/60/60/AT26</f>
      </c>
      <c r="AW26" s="13">
        <f>1000000*$N$8/24/60/60/AU26</f>
      </c>
      <c r="AX26" s="13">
        <f>AV26*$C$6</f>
      </c>
      <c r="AY26" s="13">
        <f>AW26*$C$6</f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</row>
    <row r="27">
      <c r="A27" s="4">
        <v>10240</v>
      </c>
      <c r="B27" s="4">
        <f>C27/F4/C3</f>
      </c>
      <c r="C27" s="4">
        <v>480</v>
      </c>
      <c r="D27" s="12">
        <v>10</v>
      </c>
      <c r="E27" s="12">
        <f>_xlfn.LAMBDA(m,n,k,(m*k+2*m*n+n*k)*1000*1000/$N$3/1024/1024/1024/1024/$K$5)(B27*$C$3,$Q$10,$Q$2)</f>
      </c>
      <c r="F27" s="12">
        <f>_xlfn.LAMBDA(m,n,k, 2*m*n*k*1000*1000/$N$2/1024/1024/1024/1024/$I$2)(B27*$C$3, $Q$3*(128+64)/$F$3, $Q$10)</f>
      </c>
      <c r="G27" s="12">
        <f>_xlfn.LAMBDA(m,n,k,(m*k+2*m*n+n*k)*1000*1000/$N$3/1024/1024/1024/1024/$K$5)(B27*$C$3, $Q$3*(128+64)/$F$3, $Q$10)</f>
      </c>
      <c r="H27" s="12">
        <v>15</v>
      </c>
      <c r="I27" s="12">
        <f>_xlfn.LAMBDA(m,n,k,(m*k+2*m*n+n*k)*1000*1000/$N$3/1024/1024/1024/1024/$K$5)(B27*$C$3,$Q$11*$Q$12,$Q$10)</f>
      </c>
      <c r="J27" s="12">
        <v>15</v>
      </c>
      <c r="K27" s="12">
        <f>_xlfn.LAMBDA(m,n,k,(m*k+2*m*n+n*k)*1000*1000/$N$3/1024/1024/1024/1024/$K$5)(B27*$C$3,$Q$11,$Q$2)</f>
      </c>
      <c r="L27" s="12">
        <v>5</v>
      </c>
      <c r="M27" s="12">
        <f>_xlfn.LAMBDA(m,n,k,(2*m*k+2*m*n+2*n*k)*1000*1000/$N$3/1024/1024/1024/1024/$K$5)(B27*$C$3,$Q$12,$Q$2)</f>
      </c>
      <c r="N27" s="12">
        <f>_xlfn.LAMBDA(seq_len, q_len, bs, seq_len*q_len*bs*2*($Q$12*$Q$11/$N$5 + $Q$12 / $N$7)*1000*1000/1024/1024/1024/1024/$K$6)(A27,$C$3,B27)</f>
      </c>
      <c r="O27" s="12">
        <f>_xlfn.LAMBDA(seq_len, q_len, bs, (q_len*bs*$Q$12*$Q$11 + seq_len * bs * $Q$11 + q_len*bs*$Q$12*4)*1000*1000/1024/1024/1024/1024/$N$3/$K$5)(A27,$C$3,B27)</f>
      </c>
      <c r="P27" s="12">
        <f>_xlfn.LAMBDA(b, m,n,k, 2*b*m*n*k*1000*1000/$N$7/1024/1024/1024/1024/$I$2)($Q$3, B27*$C$3, 128, $Q$7)</f>
      </c>
      <c r="Q27" s="12">
        <f>_xlfn.LAMBDA(b,m,n,k,b*(2*m*k+2*m*n+2*n*k)*1000*1000/$N$3/1024/1024/1024/1024/$K$5)($Q$3, B27*$C$3, 128, $Q$7)</f>
      </c>
      <c r="R27" s="12">
        <v>10</v>
      </c>
      <c r="S27" s="12">
        <f>_xlfn.LAMBDA(seq_len, q_len, bs, 2*seq_len*q_len*bs*2*$Q$3/$F$3*($Q$6 + $Q$7)*1000*1000/1024/1024/1024/1024/$N$5/$K$6)(MIN(A27,2048),$C$3,B27)</f>
      </c>
      <c r="T27" s="12">
        <f>_xlfn.LAMBDA(seq_len, q_len, bs, seq_len*bs*($Q$6 + $Q$7)*1000*1000/1024/1024/1024/1024/$N$3/$K$5)(MIN(A27,2048),$C$3,B27)</f>
      </c>
      <c r="U27" s="12">
        <f>_xlfn.LAMBDA(b, m,n,k, 2*b*m*n*k*1000*1000/$N$7/1024/1024/1024/1024/$I$2)($Q$3, B27*$C$3, 128, $Q$7)</f>
      </c>
      <c r="V27" s="12">
        <f>_xlfn.LAMBDA(b,m,n,k,b*(2*m*k+2*m*n+2*n*k)*1000*1000/$N$3/1024/1024/1024/1024/$K$5)($Q$3, B27*$C$3, 128, $Q$7)</f>
      </c>
      <c r="W27" s="12">
        <f>_xlfn.LAMBDA(m,n,k, 2*m*n*k*1000*1000/$N$2/1024/1024/1024/1024/$K$2)(B27*$C$3, $Q$3*128/$F$3, $Q$2)</f>
      </c>
      <c r="X27" s="12">
        <f>_xlfn.LAMBDA(m,n,k,(m*k+2*m*n+n*k)*1000*1000/$N$3/1024/1024/1024/1024/$K$5)(B27*$C$3, $Q$3*128/$F$3, $Q$2)</f>
      </c>
      <c r="Y27" s="12">
        <f>150 + $B27 *$C$3 * 2.3</f>
      </c>
      <c r="Z27" s="12">
        <f>_xlfn.LAMBDA(tp_size, hidden_size, batch_size, 2*batch_size*(tp_size-1)/tp_size*hidden_size*1000*1000/$N$4/1024/1024/1024/$I$6)($F$3, $Q$2,B27*$C$3)</f>
      </c>
      <c r="AA27" s="12">
        <f>_xlfn.LAMBDA(token_size_per_rank, to_nodes,hidden_size, sizeof_dtype, 50 + 4*token_size_per_rank * to_nodes * hidden_size*sizeof_dtype*1000*1000/$N$6/1024/1024/1024/$I$7)(B27*$C$5/$F$3, MIN($F$2,$S$2), $Q$2, 1)</f>
      </c>
      <c r="AB27" s="12">
        <f>_xlfn.LAMBDA(m,n,k, 2*m*n*k*1000*1000/$N$2/1024/1024/1024/1024/$I$3)(C27*$S$2/$F$5,$Q$8*2,$Q$2)</f>
      </c>
      <c r="AC27" s="12">
        <f>_xlfn.LAMBDA(size_of_dtype, experts, ep_size, hidden_size, internal_dim, experts/ep_size*hidden_size*internal_dim*size_of_dtype/$N$3/$K$5/1024/1024/1024/1024*1000*1000)(0.5,$S$3,$F$5,$Q$2,$Q$8*2)</f>
      </c>
      <c r="AD27" s="12">
        <f>_xlfn.LAMBDA(m,n,k, 2*m*n*k*1000*1000/$N$2/1024/1024/1024/1024/$I$3)(C27*$S$2/$F$5,$Q$2,$Q$8)</f>
      </c>
      <c r="AE27" s="12">
        <f>_xlfn.LAMBDA(size_of_dtype, experts, ep_size, hidden_size, internal_dim, experts/ep_size*hidden_size*internal_dim*size_of_dtype/$N$3/$K$5/1024/1024/1024/1024*1000*1000)(0.5,$S$3,$F$5,$Q$8, $Q$2)</f>
      </c>
      <c r="AF27" s="12">
        <f>AA27</f>
      </c>
      <c r="AG27" s="12">
        <f>_xlfn.LAMBDA(tp_size, hidden_size, batch_size, batch_size*(tp_size-1)*hidden_size*1000*1000/$N$4/1024/1024/1024/$I$6)($F$3, $Q$2,B27*$C$3)</f>
      </c>
      <c r="AH27" s="12">
        <f>_xlfn.LAMBDA(seq_len, q_len, bs, 2*seq_len*q_len*bs*2*$Q$3/$F$3*($Q$6 + $Q$7)*1000*1000/1024/1024/1024/1024/$N$5/$I$5)(A27,$C$3,B27)</f>
      </c>
      <c r="AI27" s="12">
        <f>_xlfn.LAMBDA(seq_len, q_len, bs, seq_len*bs*($Q$6 + $Q$7)*1000*1000/1024/1024/1024/1024/$N$3/$K$5)(A27,$C$3,B27)</f>
      </c>
      <c r="AJ27" s="12">
        <f>MAX(D27:E27)+MAX(F27:G27)+MAX(H27:I27)+MAX(J27:K27)+MAX(L27:M27)+MAX(N27:O27)+MAX(P27:Q27)+MAX(R27:S27)+MAX(S27:T27)+MAX(U27:V27)+MAX(W27:X27)+MAX(AB27:AC27)+MAX(AD27:AE27)+SUM(Y27:AA27)+SUM(AF27:AG27)</f>
      </c>
      <c r="AK27" s="12">
        <f>AJ27-MAX(J27:K27)-MAX(L27:M27)-MAX(N27:O27)-MAX(H27:I27)-MAX(S27:T27)+MAX(AH27:AI27)-0.05*AJ27</f>
      </c>
      <c r="AL27" s="12">
        <f>(MAX(AB27:AC27)+MAX(AD27:AE27))/AJ27</f>
      </c>
      <c r="AM27" s="12">
        <f>(MAX(AB27:AC27)+MAX(AD27:AE27))/AK27</f>
      </c>
      <c r="AN27" s="12">
        <f>MAX(S27:T27)/AJ27</f>
      </c>
      <c r="AO27" s="12">
        <f>MAX(AH27:AI27)/AK27</f>
      </c>
      <c r="AP27" s="12">
        <f>AJ27*$Q$9/1000</f>
      </c>
      <c r="AQ27" s="12">
        <f>AK27*$Q$9/1000</f>
      </c>
      <c r="AR27" s="12">
        <f>(AP27+2)/$C$5</f>
      </c>
      <c r="AS27" s="12">
        <f>(AQ27+2)/$C$5</f>
      </c>
      <c r="AT27" s="12">
        <f>B27*1000/AR27/$F$3</f>
      </c>
      <c r="AU27" s="12">
        <f>B27*1000/AS27/$F$3</f>
      </c>
      <c r="AV27" s="13">
        <f>1000000*$N$8/24/60/60/AT27</f>
      </c>
      <c r="AW27" s="13">
        <f>1000000*$N$8/24/60/60/AU27</f>
      </c>
      <c r="AX27" s="13">
        <f>AV27*$C$6</f>
      </c>
      <c r="AY27" s="13">
        <f>AW27*$C$6</f>
      </c>
      <c r="AZ27" s="13"/>
      <c r="BA27" s="13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>
      <c r="A28" s="4">
        <v>16384</v>
      </c>
      <c r="B28" s="4">
        <f>C28/F4/C3</f>
      </c>
      <c r="C28" s="4">
        <v>480</v>
      </c>
      <c r="D28" s="12">
        <v>10</v>
      </c>
      <c r="E28" s="12">
        <f>_xlfn.LAMBDA(m,n,k,(m*k+2*m*n+n*k)*1000*1000/$N$3/1024/1024/1024/1024/$K$5)(B28*$C$3,$Q$10,$Q$2)</f>
      </c>
      <c r="F28" s="12">
        <f>_xlfn.LAMBDA(m,n,k, 2*m*n*k*1000*1000/$N$2/1024/1024/1024/1024/$I$2)(B28*$C$3, $Q$3*(128+64)/$F$3, $Q$10)</f>
      </c>
      <c r="G28" s="12">
        <f>_xlfn.LAMBDA(m,n,k,(m*k+2*m*n+n*k)*1000*1000/$N$3/1024/1024/1024/1024/$K$5)(B28*$C$3, $Q$3*(128+64)/$F$3, $Q$10)</f>
      </c>
      <c r="H28" s="12">
        <v>15</v>
      </c>
      <c r="I28" s="12">
        <f>_xlfn.LAMBDA(m,n,k,(m*k+2*m*n+n*k)*1000*1000/$N$3/1024/1024/1024/1024/$K$5)(B28*$C$3,$Q$11*$Q$12,$Q$10)</f>
      </c>
      <c r="J28" s="12">
        <v>15</v>
      </c>
      <c r="K28" s="12">
        <f>_xlfn.LAMBDA(m,n,k,(m*k+2*m*n+n*k)*1000*1000/$N$3/1024/1024/1024/1024/$K$5)(B28*$C$3,$Q$11,$Q$2)</f>
      </c>
      <c r="L28" s="12">
        <v>5</v>
      </c>
      <c r="M28" s="12">
        <f>_xlfn.LAMBDA(m,n,k,(2*m*k+2*m*n+2*n*k)*1000*1000/$N$3/1024/1024/1024/1024/$K$5)(B28*$C$3,$Q$12,$Q$2)</f>
      </c>
      <c r="N28" s="12">
        <f>_xlfn.LAMBDA(seq_len, q_len, bs, seq_len*q_len*bs*2*($Q$12*$Q$11/$N$5 + $Q$12 / $N$7)*1000*1000/1024/1024/1024/1024/$K$6)(A28,$C$3,B28)</f>
      </c>
      <c r="O28" s="12">
        <f>_xlfn.LAMBDA(seq_len, q_len, bs, (q_len*bs*$Q$12*$Q$11 + seq_len * bs * $Q$11 + q_len*bs*$Q$12*4)*1000*1000/1024/1024/1024/1024/$N$3/$K$5)(A28,$C$3,B28)</f>
      </c>
      <c r="P28" s="12">
        <f>_xlfn.LAMBDA(b, m,n,k, 2*b*m*n*k*1000*1000/$N$7/1024/1024/1024/1024/$I$2)($Q$3, B28*$C$3, 128, $Q$7)</f>
      </c>
      <c r="Q28" s="12">
        <f>_xlfn.LAMBDA(b,m,n,k,b*(2*m*k+2*m*n+2*n*k)*1000*1000/$N$3/1024/1024/1024/1024/$K$5)($Q$3, B28*$C$3, 128, $Q$7)</f>
      </c>
      <c r="R28" s="12">
        <v>10</v>
      </c>
      <c r="S28" s="12">
        <f>_xlfn.LAMBDA(seq_len, q_len, bs, 2*seq_len*q_len*bs*2*$Q$3/$F$3*($Q$6 + $Q$7)*1000*1000/1024/1024/1024/1024/$N$5/$K$6)(MIN(A28,2048),$C$3,B28)</f>
      </c>
      <c r="T28" s="12">
        <f>_xlfn.LAMBDA(seq_len, q_len, bs, seq_len*bs*($Q$6 + $Q$7)*1000*1000/1024/1024/1024/1024/$N$3/$K$5)(MIN(A28,2048),$C$3,B28)</f>
      </c>
      <c r="U28" s="12">
        <f>_xlfn.LAMBDA(b, m,n,k, 2*b*m*n*k*1000*1000/$N$7/1024/1024/1024/1024/$I$2)($Q$3, B28*$C$3, 128, $Q$7)</f>
      </c>
      <c r="V28" s="12">
        <f>_xlfn.LAMBDA(b,m,n,k,b*(2*m*k+2*m*n+2*n*k)*1000*1000/$N$3/1024/1024/1024/1024/$K$5)($Q$3, B28*$C$3, 128, $Q$7)</f>
      </c>
      <c r="W28" s="12">
        <f>_xlfn.LAMBDA(m,n,k, 2*m*n*k*1000*1000/$N$2/1024/1024/1024/1024/$K$2)(B28*$C$3, $Q$3*128/$F$3, $Q$2)</f>
      </c>
      <c r="X28" s="12">
        <f>_xlfn.LAMBDA(m,n,k,(m*k+2*m*n+n*k)*1000*1000/$N$3/1024/1024/1024/1024/$K$5)(B28*$C$3, $Q$3*128/$F$3, $Q$2)</f>
      </c>
      <c r="Y28" s="12">
        <f>150 + $B28 *$C$3 * 2.3</f>
      </c>
      <c r="Z28" s="12">
        <f>_xlfn.LAMBDA(tp_size, hidden_size, batch_size, 2*batch_size*(tp_size-1)/tp_size*hidden_size*1000*1000/$N$4/1024/1024/1024/$I$6)($F$3, $Q$2,B28*$C$3)</f>
      </c>
      <c r="AA28" s="12">
        <f>_xlfn.LAMBDA(token_size_per_rank, to_nodes,hidden_size, sizeof_dtype, 50 + 4*token_size_per_rank * to_nodes * hidden_size*sizeof_dtype*1000*1000/$N$6/1024/1024/1024/$I$7)(B28*$C$5/$F$3, MIN($F$2,$S$2), $Q$2, 1)</f>
      </c>
      <c r="AB28" s="12">
        <f>_xlfn.LAMBDA(m,n,k, 2*m*n*k*1000*1000/$N$2/1024/1024/1024/1024/$I$3)(C28*$S$2/$F$5,$Q$8*2,$Q$2)</f>
      </c>
      <c r="AC28" s="12">
        <f>_xlfn.LAMBDA(size_of_dtype, experts, ep_size, hidden_size, internal_dim, experts/ep_size*hidden_size*internal_dim*size_of_dtype/$N$3/$K$5/1024/1024/1024/1024*1000*1000)(0.5,$S$3,$F$5,$Q$2,$Q$8*2)</f>
      </c>
      <c r="AD28" s="12">
        <f>_xlfn.LAMBDA(m,n,k, 2*m*n*k*1000*1000/$N$2/1024/1024/1024/1024/$I$3)(C28*$S$2/$F$5,$Q$2,$Q$8)</f>
      </c>
      <c r="AE28" s="12">
        <f>_xlfn.LAMBDA(size_of_dtype, experts, ep_size, hidden_size, internal_dim, experts/ep_size*hidden_size*internal_dim*size_of_dtype/$N$3/$K$5/1024/1024/1024/1024*1000*1000)(0.5,$S$3,$F$5,$Q$8, $Q$2)</f>
      </c>
      <c r="AF28" s="12">
        <f>AA28</f>
      </c>
      <c r="AG28" s="12">
        <f>_xlfn.LAMBDA(tp_size, hidden_size, batch_size, batch_size*(tp_size-1)*hidden_size*1000*1000/$N$4/1024/1024/1024/$I$6)($F$3, $Q$2,B28*$C$3)</f>
      </c>
      <c r="AH28" s="12">
        <f>_xlfn.LAMBDA(seq_len, q_len, bs, 2*seq_len*q_len*bs*2*$Q$3/$F$3*($Q$6 + $Q$7)*1000*1000/1024/1024/1024/1024/$N$5/$I$5)(A28,$C$3,B28)</f>
      </c>
      <c r="AI28" s="12">
        <f>_xlfn.LAMBDA(seq_len, q_len, bs, seq_len*bs*($Q$6 + $Q$7)*1000*1000/1024/1024/1024/1024/$N$3/$K$5)(A28,$C$3,B28)</f>
      </c>
      <c r="AJ28" s="12">
        <f>MAX(D28:E28)+MAX(F28:G28)+MAX(H28:I28)+MAX(J28:K28)+MAX(L28:M28)+MAX(N28:O28)+MAX(P28:Q28)+MAX(R28:S28)+MAX(S28:T28)+MAX(U28:V28)+MAX(W28:X28)+MAX(AB28:AC28)+MAX(AD28:AE28)+SUM(Y28:AA28)+SUM(AF28:AG28)</f>
      </c>
      <c r="AK28" s="12">
        <f>AJ28-MAX(J28:K28)-MAX(L28:M28)-MAX(N28:O28)-MAX(H28:I28)-MAX(S28:T28)+MAX(AH28:AI28)-0.05*AJ28</f>
      </c>
      <c r="AL28" s="12">
        <f>(MAX(AB28:AC28)+MAX(AD28:AE28))/AJ28</f>
      </c>
      <c r="AM28" s="12">
        <f>(MAX(AB28:AC28)+MAX(AD28:AE28))/AK28</f>
      </c>
      <c r="AN28" s="12">
        <f>MAX(S28:T28)/AJ28</f>
      </c>
      <c r="AO28" s="12">
        <f>MAX(AH28:AI28)/AK28</f>
      </c>
      <c r="AP28" s="12">
        <f>AJ28*$Q$9/1000</f>
      </c>
      <c r="AQ28" s="12">
        <f>AK28*$Q$9/1000</f>
      </c>
      <c r="AR28" s="12">
        <f>(AP28+2)/$C$5</f>
      </c>
      <c r="AS28" s="12">
        <f>(AQ28+2)/$C$5</f>
      </c>
      <c r="AT28" s="12">
        <f>B28*1000/AR28/$F$3</f>
      </c>
      <c r="AU28" s="12">
        <f>B28*1000/AS28/$F$3</f>
      </c>
      <c r="AV28" s="13">
        <f>1000000*$N$8/24/60/60/AT28</f>
      </c>
      <c r="AW28" s="13">
        <f>1000000*$N$8/24/60/60/AU28</f>
      </c>
      <c r="AX28" s="13">
        <f>AV28*$C$6</f>
      </c>
      <c r="AY28" s="13">
        <f>AW28*$C$6</f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</row>
    <row r="29">
      <c r="A29" s="4">
        <f>20*1024</f>
      </c>
      <c r="B29" s="4">
        <f>C29/F4/C3</f>
      </c>
      <c r="C29" s="4">
        <v>480</v>
      </c>
      <c r="D29" s="12">
        <v>10</v>
      </c>
      <c r="E29" s="12">
        <f>_xlfn.LAMBDA(m,n,k,(m*k+2*m*n+n*k)*1000*1000/$N$3/1024/1024/1024/1024/$K$5)(B29*$C$3,$Q$10,$Q$2)</f>
      </c>
      <c r="F29" s="12">
        <f>_xlfn.LAMBDA(m,n,k, 2*m*n*k*1000*1000/$N$2/1024/1024/1024/1024/$I$2)(B29*$C$3, $Q$3*(128+64)/$F$3, $Q$10)</f>
      </c>
      <c r="G29" s="12">
        <f>_xlfn.LAMBDA(m,n,k,(m*k+2*m*n+n*k)*1000*1000/$N$3/1024/1024/1024/1024/$K$5)(B29*$C$3, $Q$3*(128+64)/$F$3, $Q$10)</f>
      </c>
      <c r="H29" s="12">
        <v>15</v>
      </c>
      <c r="I29" s="12">
        <f>_xlfn.LAMBDA(m,n,k,(m*k+2*m*n+n*k)*1000*1000/$N$3/1024/1024/1024/1024/$K$5)(B29*$C$3,$Q$11*$Q$12,$Q$10)</f>
      </c>
      <c r="J29" s="12">
        <v>15</v>
      </c>
      <c r="K29" s="12">
        <f>_xlfn.LAMBDA(m,n,k,(m*k+2*m*n+n*k)*1000*1000/$N$3/1024/1024/1024/1024/$K$5)(B29*$C$3,$Q$11,$Q$2)</f>
      </c>
      <c r="L29" s="12">
        <v>5</v>
      </c>
      <c r="M29" s="12">
        <f>_xlfn.LAMBDA(m,n,k,(2*m*k+2*m*n+2*n*k)*1000*1000/$N$3/1024/1024/1024/1024/$K$5)(B29*$C$3,$Q$12,$Q$2)</f>
      </c>
      <c r="N29" s="12">
        <f>_xlfn.LAMBDA(seq_len, q_len, bs, seq_len*q_len*bs*2*($Q$12*$Q$11/$N$5 + $Q$12 / $N$7)*1000*1000/1024/1024/1024/1024/$K$6)(A29,$C$3,B29)</f>
      </c>
      <c r="O29" s="12">
        <f>_xlfn.LAMBDA(seq_len, q_len, bs, (q_len*bs*$Q$12*$Q$11 + seq_len * bs * $Q$11 + q_len*bs*$Q$12*4)*1000*1000/1024/1024/1024/1024/$N$3/$K$5)(A29,$C$3,B29)</f>
      </c>
      <c r="P29" s="12">
        <f>_xlfn.LAMBDA(b, m,n,k, 2*b*m*n*k*1000*1000/$N$7/1024/1024/1024/1024/$I$2)($Q$3, B29*$C$3, 128, $Q$7)</f>
      </c>
      <c r="Q29" s="12">
        <f>_xlfn.LAMBDA(b,m,n,k,b*(2*m*k+2*m*n+2*n*k)*1000*1000/$N$3/1024/1024/1024/1024/$K$5)($Q$3, B29*$C$3, 128, $Q$7)</f>
      </c>
      <c r="R29" s="12">
        <v>10</v>
      </c>
      <c r="S29" s="12">
        <f>_xlfn.LAMBDA(seq_len, q_len, bs, 2*seq_len*q_len*bs*2*$Q$3/$F$3*($Q$6 + $Q$7)*1000*1000/1024/1024/1024/1024/$N$5/$K$6)(MIN(A29,2048),$C$3,B29)</f>
      </c>
      <c r="T29" s="12">
        <f>_xlfn.LAMBDA(seq_len, q_len, bs, seq_len*bs*($Q$6 + $Q$7)*1000*1000/1024/1024/1024/1024/$N$3/$K$5)(MIN(A29,2048),$C$3,B29)</f>
      </c>
      <c r="U29" s="12">
        <f>_xlfn.LAMBDA(b, m,n,k, 2*b*m*n*k*1000*1000/$N$7/1024/1024/1024/1024/$I$2)($Q$3, B29*$C$3, 128, $Q$7)</f>
      </c>
      <c r="V29" s="12">
        <f>_xlfn.LAMBDA(b,m,n,k,b*(2*m*k+2*m*n+2*n*k)*1000*1000/$N$3/1024/1024/1024/1024/$K$5)($Q$3, B29*$C$3, 128, $Q$7)</f>
      </c>
      <c r="W29" s="12">
        <f>_xlfn.LAMBDA(m,n,k, 2*m*n*k*1000*1000/$N$2/1024/1024/1024/1024/$K$2)(B29*$C$3, $Q$3*128/$F$3, $Q$2)</f>
      </c>
      <c r="X29" s="12">
        <f>_xlfn.LAMBDA(m,n,k,(m*k+2*m*n+n*k)*1000*1000/$N$3/1024/1024/1024/1024/$K$5)(B29*$C$3, $Q$3*128/$F$3, $Q$2)</f>
      </c>
      <c r="Y29" s="12">
        <f>150 + $B29 *$C$3 * 2.3</f>
      </c>
      <c r="Z29" s="12">
        <f>_xlfn.LAMBDA(tp_size, hidden_size, batch_size, 2*batch_size*(tp_size-1)/tp_size*hidden_size*1000*1000/$N$4/1024/1024/1024/$I$6)($F$3, $Q$2,B29*$C$3)</f>
      </c>
      <c r="AA29" s="12">
        <f>_xlfn.LAMBDA(token_size_per_rank, to_nodes,hidden_size, sizeof_dtype, 50 + 4*token_size_per_rank * to_nodes * hidden_size*sizeof_dtype*1000*1000/$N$6/1024/1024/1024/$I$7)(B29*$C$5/$F$3, MIN($F$2,$S$2), $Q$2, 1)</f>
      </c>
      <c r="AB29" s="12">
        <f>_xlfn.LAMBDA(m,n,k, 2*m*n*k*1000*1000/$N$2/1024/1024/1024/1024/$I$3)(C29*$S$2/$F$5,$Q$8*2,$Q$2)</f>
      </c>
      <c r="AC29" s="12">
        <f>_xlfn.LAMBDA(size_of_dtype, experts, ep_size, hidden_size, internal_dim, experts/ep_size*hidden_size*internal_dim*size_of_dtype/$N$3/$K$5/1024/1024/1024/1024*1000*1000)(0.5,$S$3,$F$5,$Q$2,$Q$8*2)</f>
      </c>
      <c r="AD29" s="12">
        <f>_xlfn.LAMBDA(m,n,k, 2*m*n*k*1000*1000/$N$2/1024/1024/1024/1024/$I$3)(C29*$S$2/$F$5,$Q$2,$Q$8)</f>
      </c>
      <c r="AE29" s="12">
        <f>_xlfn.LAMBDA(size_of_dtype, experts, ep_size, hidden_size, internal_dim, experts/ep_size*hidden_size*internal_dim*size_of_dtype/$N$3/$K$5/1024/1024/1024/1024*1000*1000)(0.5,$S$3,$F$5,$Q$8, $Q$2)</f>
      </c>
      <c r="AF29" s="12">
        <f>AA29</f>
      </c>
      <c r="AG29" s="12">
        <f>_xlfn.LAMBDA(tp_size, hidden_size, batch_size, batch_size*(tp_size-1)*hidden_size*1000*1000/$N$4/1024/1024/1024/$I$6)($F$3, $Q$2,B29*$C$3)</f>
      </c>
      <c r="AH29" s="12">
        <f>_xlfn.LAMBDA(seq_len, q_len, bs, 2*seq_len*q_len*bs*2*$Q$3/$F$3*($Q$6 + $Q$7)*1000*1000/1024/1024/1024/1024/$N$5/$I$5)(A29,$C$3,B29)</f>
      </c>
      <c r="AI29" s="12">
        <f>_xlfn.LAMBDA(seq_len, q_len, bs, seq_len*bs*($Q$6 + $Q$7)*1000*1000/1024/1024/1024/1024/$N$3/$K$5)(A29,$C$3,B29)</f>
      </c>
      <c r="AJ29" s="12">
        <f>MAX(D29:E29)+MAX(F29:G29)+MAX(H29:I29)+MAX(J29:K29)+MAX(L29:M29)+MAX(N29:O29)+MAX(P29:Q29)+MAX(R29:S29)+MAX(S29:T29)+MAX(U29:V29)+MAX(W29:X29)+MAX(AB29:AC29)+MAX(AD29:AE29)+SUM(Y29:AA29)+SUM(AF29:AG29)</f>
      </c>
      <c r="AK29" s="12">
        <f>AJ29-MAX(J29:K29)-MAX(L29:M29)-MAX(N29:O29)-MAX(H29:I29)-MAX(S29:T29)+MAX(AH29:AI29)-0.05*AJ29</f>
      </c>
      <c r="AL29" s="12">
        <f>(MAX(AB29:AC29)+MAX(AD29:AE29))/AJ29</f>
      </c>
      <c r="AM29" s="12">
        <f>(MAX(AB29:AC29)+MAX(AD29:AE29))/AK29</f>
      </c>
      <c r="AN29" s="12">
        <f>MAX(S29:T29)/AJ29</f>
      </c>
      <c r="AO29" s="12">
        <f>MAX(AH29:AI29)/AK29</f>
      </c>
      <c r="AP29" s="12">
        <f>AJ29*$Q$9/1000</f>
      </c>
      <c r="AQ29" s="12">
        <f>AK29*$Q$9/1000</f>
      </c>
      <c r="AR29" s="12">
        <f>(AP29+2)/$C$5</f>
      </c>
      <c r="AS29" s="12">
        <f>(AQ29+2)/$C$5</f>
      </c>
      <c r="AT29" s="12">
        <f>B29*1000/AR29/$F$3</f>
      </c>
      <c r="AU29" s="12">
        <f>B29*1000/AS29/$F$3</f>
      </c>
      <c r="AV29" s="13">
        <f>1000000*$N$8/24/60/60/AT29</f>
      </c>
      <c r="AW29" s="13">
        <f>1000000*$N$8/24/60/60/AU29</f>
      </c>
      <c r="AX29" s="13">
        <f>AV29*$C$6</f>
      </c>
      <c r="AY29" s="13">
        <f>AW29*$C$6</f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</row>
    <row r="30">
      <c r="A30" s="4">
        <f>32*1024</f>
      </c>
      <c r="B30" s="4">
        <f>C30/F4/C3</f>
      </c>
      <c r="C30" s="4">
        <v>480</v>
      </c>
      <c r="D30" s="12">
        <v>10</v>
      </c>
      <c r="E30" s="12">
        <f>_xlfn.LAMBDA(m,n,k,(m*k+2*m*n+n*k)*1000*1000/$N$3/1024/1024/1024/1024/$K$5)(B30*$C$3,$Q$10,$Q$2)</f>
      </c>
      <c r="F30" s="12">
        <f>_xlfn.LAMBDA(m,n,k, 2*m*n*k*1000*1000/$N$2/1024/1024/1024/1024/$I$2)(B30*$C$3, $Q$3*(128+64)/$F$3, $Q$10)</f>
      </c>
      <c r="G30" s="12">
        <f>_xlfn.LAMBDA(m,n,k,(m*k+2*m*n+n*k)*1000*1000/$N$3/1024/1024/1024/1024/$K$5)(B30*$C$3, $Q$3*(128+64)/$F$3, $Q$10)</f>
      </c>
      <c r="H30" s="12">
        <v>15</v>
      </c>
      <c r="I30" s="12">
        <f>_xlfn.LAMBDA(m,n,k,(m*k+2*m*n+n*k)*1000*1000/$N$3/1024/1024/1024/1024/$K$5)(B30*$C$3,$Q$11*$Q$12,$Q$10)</f>
      </c>
      <c r="J30" s="12">
        <v>15</v>
      </c>
      <c r="K30" s="12">
        <f>_xlfn.LAMBDA(m,n,k,(m*k+2*m*n+n*k)*1000*1000/$N$3/1024/1024/1024/1024/$K$5)(B30*$C$3,$Q$11,$Q$2)</f>
      </c>
      <c r="L30" s="12">
        <v>5</v>
      </c>
      <c r="M30" s="12">
        <f>_xlfn.LAMBDA(m,n,k,(2*m*k+2*m*n+2*n*k)*1000*1000/$N$3/1024/1024/1024/1024/$K$5)(B30*$C$3,$Q$12,$Q$2)</f>
      </c>
      <c r="N30" s="12">
        <f>_xlfn.LAMBDA(seq_len, q_len, bs, seq_len*q_len*bs*2*($Q$12*$Q$11/$N$5 + $Q$12 / $N$7)*1000*1000/1024/1024/1024/1024/$K$6)(A30,$C$3,B30)</f>
      </c>
      <c r="O30" s="12">
        <f>_xlfn.LAMBDA(seq_len, q_len, bs, (q_len*bs*$Q$12*$Q$11 + seq_len * bs * $Q$11 + q_len*bs*$Q$12*4)*1000*1000/1024/1024/1024/1024/$N$3/$K$5)(A30,$C$3,B30)</f>
      </c>
      <c r="P30" s="12">
        <f>_xlfn.LAMBDA(b, m,n,k, 2*b*m*n*k*1000*1000/$N$7/1024/1024/1024/1024/$I$2)($Q$3, B30*$C$3, 128, $Q$7)</f>
      </c>
      <c r="Q30" s="12">
        <f>_xlfn.LAMBDA(b,m,n,k,b*(2*m*k+2*m*n+2*n*k)*1000*1000/$N$3/1024/1024/1024/1024/$K$5)($Q$3, B30*$C$3, 128, $Q$7)</f>
      </c>
      <c r="R30" s="12">
        <v>10</v>
      </c>
      <c r="S30" s="12">
        <f>_xlfn.LAMBDA(seq_len, q_len, bs, 2*seq_len*q_len*bs*2*$Q$3/$F$3*($Q$6 + $Q$7)*1000*1000/1024/1024/1024/1024/$N$5/$K$6)(MIN(A30,2048),$C$3,B30)</f>
      </c>
      <c r="T30" s="12">
        <f>_xlfn.LAMBDA(seq_len, q_len, bs, seq_len*bs*($Q$6 + $Q$7)*1000*1000/1024/1024/1024/1024/$N$3/$K$5)(MIN(A30,2048),$C$3,B30)</f>
      </c>
      <c r="U30" s="12">
        <f>_xlfn.LAMBDA(b, m,n,k, 2*b*m*n*k*1000*1000/$N$7/1024/1024/1024/1024/$I$2)($Q$3, B30*$C$3, 128, $Q$7)</f>
      </c>
      <c r="V30" s="12">
        <f>_xlfn.LAMBDA(b,m,n,k,b*(2*m*k+2*m*n+2*n*k)*1000*1000/$N$3/1024/1024/1024/1024/$K$5)($Q$3, B30*$C$3, 128, $Q$7)</f>
      </c>
      <c r="W30" s="12">
        <f>_xlfn.LAMBDA(m,n,k, 2*m*n*k*1000*1000/$N$2/1024/1024/1024/1024/$K$2)(B30*$C$3, $Q$3*128/$F$3, $Q$2)</f>
      </c>
      <c r="X30" s="12">
        <f>_xlfn.LAMBDA(m,n,k,(m*k+2*m*n+n*k)*1000*1000/$N$3/1024/1024/1024/1024/$K$5)(B30*$C$3, $Q$3*128/$F$3, $Q$2)</f>
      </c>
      <c r="Y30" s="12">
        <f>150 + $B30 *$C$3 * 2.3</f>
      </c>
      <c r="Z30" s="12">
        <f>_xlfn.LAMBDA(tp_size, hidden_size, batch_size, 2*batch_size*(tp_size-1)/tp_size*hidden_size*1000*1000/$N$4/1024/1024/1024/$I$6)($F$3, $Q$2,B30*$C$3)</f>
      </c>
      <c r="AA30" s="12">
        <f>_xlfn.LAMBDA(token_size_per_rank, to_nodes,hidden_size, sizeof_dtype, 50 + 4*token_size_per_rank * to_nodes * hidden_size*sizeof_dtype*1000*1000/$N$6/1024/1024/1024/$I$7)(B30*$C$5/$F$3, MIN($F$2,$S$2), $Q$2, 1)</f>
      </c>
      <c r="AB30" s="12">
        <f>_xlfn.LAMBDA(m,n,k, 2*m*n*k*1000*1000/$N$2/1024/1024/1024/1024/$I$3)(C30*$S$2/$F$5,$Q$8*2,$Q$2)</f>
      </c>
      <c r="AC30" s="12">
        <f>_xlfn.LAMBDA(size_of_dtype, experts, ep_size, hidden_size, internal_dim, experts/ep_size*hidden_size*internal_dim*size_of_dtype/$N$3/$K$5/1024/1024/1024/1024*1000*1000)(0.5,$S$3,$F$5,$Q$2,$Q$8*2)</f>
      </c>
      <c r="AD30" s="12">
        <f>_xlfn.LAMBDA(m,n,k, 2*m*n*k*1000*1000/$N$2/1024/1024/1024/1024/$I$3)(C30*$S$2/$F$5,$Q$2,$Q$8)</f>
      </c>
      <c r="AE30" s="12">
        <f>_xlfn.LAMBDA(size_of_dtype, experts, ep_size, hidden_size, internal_dim, experts/ep_size*hidden_size*internal_dim*size_of_dtype/$N$3/$K$5/1024/1024/1024/1024*1000*1000)(0.5,$S$3,$F$5,$Q$8, $Q$2)</f>
      </c>
      <c r="AF30" s="12">
        <f>AA30</f>
      </c>
      <c r="AG30" s="12">
        <f>_xlfn.LAMBDA(tp_size, hidden_size, batch_size, batch_size*(tp_size-1)*hidden_size*1000*1000/$N$4/1024/1024/1024/$I$6)($F$3, $Q$2,B30*$C$3)</f>
      </c>
      <c r="AH30" s="12">
        <f>_xlfn.LAMBDA(seq_len, q_len, bs, 2*seq_len*q_len*bs*2*$Q$3/$F$3*($Q$6 + $Q$7)*1000*1000/1024/1024/1024/1024/$N$5/$I$5)(A30,$C$3,B30)</f>
      </c>
      <c r="AI30" s="12">
        <f>_xlfn.LAMBDA(seq_len, q_len, bs, seq_len*bs*($Q$6 + $Q$7)*1000*1000/1024/1024/1024/1024/$N$3/$K$5)(A30,$C$3,B30)</f>
      </c>
      <c r="AJ30" s="12">
        <f>MAX(D30:E30)+MAX(F30:G30)+MAX(H30:I30)+MAX(J30:K30)+MAX(L30:M30)+MAX(N30:O30)+MAX(P30:Q30)+MAX(R30:S30)+MAX(S30:T30)+MAX(U30:V30)+MAX(W30:X30)+MAX(AB30:AC30)+MAX(AD30:AE30)+SUM(Y30:AA30)+SUM(AF30:AG30)</f>
      </c>
      <c r="AK30" s="12">
        <f>AJ30-MAX(J30:K30)-MAX(L30:M30)-MAX(N30:O30)-MAX(H30:I30)-MAX(S30:T30)+MAX(AH30:AI30)-0.05*AJ30</f>
      </c>
      <c r="AL30" s="12">
        <f>(MAX(AB30:AC30)+MAX(AD30:AE30))/AJ30</f>
      </c>
      <c r="AM30" s="12">
        <f>(MAX(AB30:AC30)+MAX(AD30:AE30))/AK30</f>
      </c>
      <c r="AN30" s="12">
        <f>MAX(S30:T30)/AJ30</f>
      </c>
      <c r="AO30" s="12">
        <f>MAX(AH30:AI30)/AK30</f>
      </c>
      <c r="AP30" s="12">
        <f>AJ30*$Q$9/1000</f>
      </c>
      <c r="AQ30" s="12">
        <f>AK30*$Q$9/1000</f>
      </c>
      <c r="AR30" s="12">
        <f>(AP30+2)/$C$5</f>
      </c>
      <c r="AS30" s="12">
        <f>(AQ30+2)/$C$5</f>
      </c>
      <c r="AT30" s="12">
        <f>B30*1000/AR30/$F$3</f>
      </c>
      <c r="AU30" s="12">
        <f>B30*1000/AS30/$F$3</f>
      </c>
      <c r="AV30" s="13">
        <f>1000000*$N$8/24/60/60/AT30</f>
      </c>
      <c r="AW30" s="13">
        <f>1000000*$N$8/24/60/60/AU30</f>
      </c>
      <c r="AX30" s="13">
        <f>AV30*$C$6</f>
      </c>
      <c r="AY30" s="13">
        <f>AW30*$C$6</f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</row>
    <row r="31">
      <c r="A31" s="4">
        <f>50*1024</f>
      </c>
      <c r="B31" s="4">
        <f>C31/F4/C3</f>
      </c>
      <c r="C31" s="4">
        <v>480</v>
      </c>
      <c r="D31" s="12">
        <v>10</v>
      </c>
      <c r="E31" s="12">
        <f>_xlfn.LAMBDA(m,n,k,(m*k+2*m*n+n*k)*1000*1000/$N$3/1024/1024/1024/1024/$K$5)(B31*$C$3,$Q$10,$Q$2)</f>
      </c>
      <c r="F31" s="12">
        <f>_xlfn.LAMBDA(m,n,k, 2*m*n*k*1000*1000/$N$2/1024/1024/1024/1024/$I$2)(B31*$C$3, $Q$3*(128+64)/$F$3, $Q$10)</f>
      </c>
      <c r="G31" s="12">
        <f>_xlfn.LAMBDA(m,n,k,(m*k+2*m*n+n*k)*1000*1000/$N$3/1024/1024/1024/1024/$K$5)(B31*$C$3, $Q$3*(128+64)/$F$3, $Q$10)</f>
      </c>
      <c r="H31" s="12">
        <v>15</v>
      </c>
      <c r="I31" s="12">
        <f>_xlfn.LAMBDA(m,n,k,(m*k+2*m*n+n*k)*1000*1000/$N$3/1024/1024/1024/1024/$K$5)(B31*$C$3,$Q$11*$Q$12,$Q$10)</f>
      </c>
      <c r="J31" s="12">
        <v>15</v>
      </c>
      <c r="K31" s="12">
        <f>_xlfn.LAMBDA(m,n,k,(m*k+2*m*n+n*k)*1000*1000/$N$3/1024/1024/1024/1024/$K$5)(B31*$C$3,$Q$11,$Q$2)</f>
      </c>
      <c r="L31" s="12">
        <v>5</v>
      </c>
      <c r="M31" s="12">
        <f>_xlfn.LAMBDA(m,n,k,(2*m*k+2*m*n+2*n*k)*1000*1000/$N$3/1024/1024/1024/1024/$K$5)(B31*$C$3,$Q$12,$Q$2)</f>
      </c>
      <c r="N31" s="12">
        <f>_xlfn.LAMBDA(seq_len, q_len, bs, seq_len*q_len*bs*2*($Q$12*$Q$11/$N$5 + $Q$12 / $N$7)*1000*1000/1024/1024/1024/1024/$K$6)(A31,$C$3,B31)</f>
      </c>
      <c r="O31" s="12">
        <f>_xlfn.LAMBDA(seq_len, q_len, bs, (q_len*bs*$Q$12*$Q$11 + seq_len * bs * $Q$11 + q_len*bs*$Q$12*4)*1000*1000/1024/1024/1024/1024/$N$3/$K$5)(A31,$C$3,B31)</f>
      </c>
      <c r="P31" s="12">
        <f>_xlfn.LAMBDA(b, m,n,k, 2*b*m*n*k*1000*1000/$N$7/1024/1024/1024/1024/$I$2)($Q$3, B31*$C$3, 128, $Q$7)</f>
      </c>
      <c r="Q31" s="12">
        <f>_xlfn.LAMBDA(b,m,n,k,b*(2*m*k+2*m*n+2*n*k)*1000*1000/$N$3/1024/1024/1024/1024/$K$5)($Q$3, B31*$C$3, 128, $Q$7)</f>
      </c>
      <c r="R31" s="12">
        <v>10</v>
      </c>
      <c r="S31" s="12">
        <f>_xlfn.LAMBDA(seq_len, q_len, bs, 2*seq_len*q_len*bs*2*$Q$3/$F$3*($Q$6 + $Q$7)*1000*1000/1024/1024/1024/1024/$N$5/$K$6)(MIN(A31,2048),$C$3,B31)</f>
      </c>
      <c r="T31" s="12">
        <f>_xlfn.LAMBDA(seq_len, q_len, bs, seq_len*bs*($Q$6 + $Q$7)*1000*1000/1024/1024/1024/1024/$N$3/$K$5)(MIN(A31,2048),$C$3,B31)</f>
      </c>
      <c r="U31" s="12">
        <f>_xlfn.LAMBDA(b, m,n,k, 2*b*m*n*k*1000*1000/$N$7/1024/1024/1024/1024/$I$2)($Q$3, B31*$C$3, 128, $Q$7)</f>
      </c>
      <c r="V31" s="12">
        <f>_xlfn.LAMBDA(b,m,n,k,b*(2*m*k+2*m*n+2*n*k)*1000*1000/$N$3/1024/1024/1024/1024/$K$5)($Q$3, B31*$C$3, 128, $Q$7)</f>
      </c>
      <c r="W31" s="12">
        <f>_xlfn.LAMBDA(m,n,k, 2*m*n*k*1000*1000/$N$2/1024/1024/1024/1024/$K$2)(B31*$C$3, $Q$3*128/$F$3, $Q$2)</f>
      </c>
      <c r="X31" s="12">
        <f>_xlfn.LAMBDA(m,n,k,(m*k+2*m*n+n*k)*1000*1000/$N$3/1024/1024/1024/1024/$K$5)(B31*$C$3, $Q$3*128/$F$3, $Q$2)</f>
      </c>
      <c r="Y31" s="12">
        <f>150 + $B31 *$C$3 * 2.3</f>
      </c>
      <c r="Z31" s="12">
        <f>_xlfn.LAMBDA(tp_size, hidden_size, batch_size, 2*batch_size*(tp_size-1)/tp_size*hidden_size*1000*1000/$N$4/1024/1024/1024/$I$6)($F$3, $Q$2,B31*$C$3)</f>
      </c>
      <c r="AA31" s="12">
        <f>_xlfn.LAMBDA(token_size_per_rank, to_nodes,hidden_size, sizeof_dtype, 50 + 4*token_size_per_rank * to_nodes * hidden_size*sizeof_dtype*1000*1000/$N$6/1024/1024/1024/$I$7)(B31*$C$5/$F$3, MIN($F$2,$S$2), $Q$2, 1)</f>
      </c>
      <c r="AB31" s="12">
        <f>_xlfn.LAMBDA(m,n,k, 2*m*n*k*1000*1000/$N$2/1024/1024/1024/1024/$I$3)(C31*$S$2/$F$5,$Q$8*2,$Q$2)</f>
      </c>
      <c r="AC31" s="12">
        <f>_xlfn.LAMBDA(size_of_dtype, experts, ep_size, hidden_size, internal_dim, experts/ep_size*hidden_size*internal_dim*size_of_dtype/$N$3/$K$5/1024/1024/1024/1024*1000*1000)(0.5,$S$3,$F$5,$Q$2,$Q$8*2)</f>
      </c>
      <c r="AD31" s="12">
        <f>_xlfn.LAMBDA(m,n,k, 2*m*n*k*1000*1000/$N$2/1024/1024/1024/1024/$I$3)(C31*$S$2/$F$5,$Q$2,$Q$8)</f>
      </c>
      <c r="AE31" s="12">
        <f>_xlfn.LAMBDA(size_of_dtype, experts, ep_size, hidden_size, internal_dim, experts/ep_size*hidden_size*internal_dim*size_of_dtype/$N$3/$K$5/1024/1024/1024/1024*1000*1000)(0.5,$S$3,$F$5,$Q$8, $Q$2)</f>
      </c>
      <c r="AF31" s="12">
        <f>AA31</f>
      </c>
      <c r="AG31" s="12">
        <f>_xlfn.LAMBDA(tp_size, hidden_size, batch_size, batch_size*(tp_size-1)*hidden_size*1000*1000/$N$4/1024/1024/1024/$I$6)($F$3, $Q$2,B31*$C$3)</f>
      </c>
      <c r="AH31" s="12">
        <f>_xlfn.LAMBDA(seq_len, q_len, bs, 2*seq_len*q_len*bs*2*$Q$3/$F$3*($Q$6 + $Q$7)*1000*1000/1024/1024/1024/1024/$N$5/$I$5)(A31,$C$3,B31)</f>
      </c>
      <c r="AI31" s="12">
        <f>_xlfn.LAMBDA(seq_len, q_len, bs, seq_len*bs*($Q$6 + $Q$7)*1000*1000/1024/1024/1024/1024/$N$3/$K$5)(A31,$C$3,B31)</f>
      </c>
      <c r="AJ31" s="12">
        <f>MAX(D31:E31)+MAX(F31:G31)+MAX(H31:I31)+MAX(J31:K31)+MAX(L31:M31)+MAX(N31:O31)+MAX(P31:Q31)+MAX(R31:S31)+MAX(S31:T31)+MAX(U31:V31)+MAX(W31:X31)+MAX(AB31:AC31)+MAX(AD31:AE31)+SUM(Y31:AA31)+SUM(AF31:AG31)</f>
      </c>
      <c r="AK31" s="12">
        <f>AJ31-MAX(J31:K31)-MAX(L31:M31)-MAX(N31:O31)-MAX(H31:I31)-MAX(S31:T31)+MAX(AH31:AI31)-0.05*AJ31</f>
      </c>
      <c r="AL31" s="12">
        <f>(MAX(AB31:AC31)+MAX(AD31:AE31))/AJ31</f>
      </c>
      <c r="AM31" s="12">
        <f>(MAX(AB31:AC31)+MAX(AD31:AE31))/AK31</f>
      </c>
      <c r="AN31" s="12">
        <f>MAX(S31:T31)/AJ31</f>
      </c>
      <c r="AO31" s="12">
        <f>MAX(AH31:AI31)/AK31</f>
      </c>
      <c r="AP31" s="12">
        <f>AJ31*$Q$9/1000</f>
      </c>
      <c r="AQ31" s="12">
        <f>AK31*$Q$9/1000</f>
      </c>
      <c r="AR31" s="12">
        <f>(AP31+2)/$C$5</f>
      </c>
      <c r="AS31" s="12">
        <f>(AQ31+2)/$C$5</f>
      </c>
      <c r="AT31" s="12">
        <f>B31*1000/AR31/$F$3</f>
      </c>
      <c r="AU31" s="12">
        <f>B31*1000/AS31/$F$3</f>
      </c>
      <c r="AV31" s="13">
        <f>1000000*$N$8/24/60/60/AT31</f>
      </c>
      <c r="AW31" s="13">
        <f>1000000*$N$8/24/60/60/AU31</f>
      </c>
      <c r="AX31" s="13">
        <f>AV31*$C$6</f>
      </c>
      <c r="AY31" s="13">
        <f>AW31*$C$6</f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</row>
    <row r="32">
      <c r="A32" s="4">
        <f>64*1024</f>
      </c>
      <c r="B32" s="4">
        <f>C32/F4/C3</f>
      </c>
      <c r="C32" s="4">
        <v>480</v>
      </c>
      <c r="D32" s="12">
        <v>10</v>
      </c>
      <c r="E32" s="12">
        <f>_xlfn.LAMBDA(m,n,k,(m*k+2*m*n+n*k)*1000*1000/$N$3/1024/1024/1024/1024/$K$5)(B32*$C$3,$Q$10,$Q$2)</f>
      </c>
      <c r="F32" s="12">
        <f>_xlfn.LAMBDA(m,n,k, 2*m*n*k*1000*1000/$N$2/1024/1024/1024/1024/$I$2)(B32*$C$3, $Q$3*(128+64)/$F$3, $Q$10)</f>
      </c>
      <c r="G32" s="12">
        <f>_xlfn.LAMBDA(m,n,k,(m*k+2*m*n+n*k)*1000*1000/$N$3/1024/1024/1024/1024/$K$5)(B32*$C$3, $Q$3*(128+64)/$F$3, $Q$10)</f>
      </c>
      <c r="H32" s="12">
        <v>15</v>
      </c>
      <c r="I32" s="12">
        <f>_xlfn.LAMBDA(m,n,k,(m*k+2*m*n+n*k)*1000*1000/$N$3/1024/1024/1024/1024/$K$5)(B32*$C$3,$Q$11*$Q$12,$Q$10)</f>
      </c>
      <c r="J32" s="12">
        <v>15</v>
      </c>
      <c r="K32" s="12">
        <f>_xlfn.LAMBDA(m,n,k,(m*k+2*m*n+n*k)*1000*1000/$N$3/1024/1024/1024/1024/$K$5)(B32*$C$3,$Q$11,$Q$2)</f>
      </c>
      <c r="L32" s="12">
        <v>5</v>
      </c>
      <c r="M32" s="12">
        <f>_xlfn.LAMBDA(m,n,k,(2*m*k+2*m*n+2*n*k)*1000*1000/$N$3/1024/1024/1024/1024/$K$5)(B32*$C$3,$Q$12,$Q$2)</f>
      </c>
      <c r="N32" s="12">
        <f>_xlfn.LAMBDA(seq_len, q_len, bs, seq_len*q_len*bs*2*($Q$12*$Q$11/$N$5 + $Q$12 / $N$7)*1000*1000/1024/1024/1024/1024/$K$6)(A32,$C$3,B32)</f>
      </c>
      <c r="O32" s="12">
        <f>_xlfn.LAMBDA(seq_len, q_len, bs, (q_len*bs*$Q$12*$Q$11 + seq_len * bs * $Q$11 + q_len*bs*$Q$12*4)*1000*1000/1024/1024/1024/1024/$N$3/$K$5)(A32,$C$3,B32)</f>
      </c>
      <c r="P32" s="12">
        <f>_xlfn.LAMBDA(b, m,n,k, 2*b*m*n*k*1000*1000/$N$7/1024/1024/1024/1024/$I$2)($Q$3, B32*$C$3, 128, $Q$7)</f>
      </c>
      <c r="Q32" s="12">
        <f>_xlfn.LAMBDA(b,m,n,k,b*(2*m*k+2*m*n+2*n*k)*1000*1000/$N$3/1024/1024/1024/1024/$K$5)($Q$3, B32*$C$3, 128, $Q$7)</f>
      </c>
      <c r="R32" s="12">
        <v>10</v>
      </c>
      <c r="S32" s="12">
        <f>_xlfn.LAMBDA(seq_len, q_len, bs, 2*seq_len*q_len*bs*2*$Q$3/$F$3*($Q$6 + $Q$7)*1000*1000/1024/1024/1024/1024/$N$5/$K$6)(MIN(A32,2048),$C$3,B32)</f>
      </c>
      <c r="T32" s="12">
        <f>_xlfn.LAMBDA(seq_len, q_len, bs, seq_len*bs*($Q$6 + $Q$7)*1000*1000/1024/1024/1024/1024/$N$3/$K$5)(MIN(A32,2048),$C$3,B32)</f>
      </c>
      <c r="U32" s="12">
        <f>_xlfn.LAMBDA(b, m,n,k, 2*b*m*n*k*1000*1000/$N$7/1024/1024/1024/1024/$I$2)($Q$3, B32*$C$3, 128, $Q$7)</f>
      </c>
      <c r="V32" s="12">
        <f>_xlfn.LAMBDA(b,m,n,k,b*(2*m*k+2*m*n+2*n*k)*1000*1000/$N$3/1024/1024/1024/1024/$K$5)($Q$3, B32*$C$3, 128, $Q$7)</f>
      </c>
      <c r="W32" s="12">
        <f>_xlfn.LAMBDA(m,n,k, 2*m*n*k*1000*1000/$N$2/1024/1024/1024/1024/$K$2)(B32*$C$3, $Q$3*128/$F$3, $Q$2)</f>
      </c>
      <c r="X32" s="12">
        <f>_xlfn.LAMBDA(m,n,k,(m*k+2*m*n+n*k)*1000*1000/$N$3/1024/1024/1024/1024/$K$5)(B32*$C$3, $Q$3*128/$F$3, $Q$2)</f>
      </c>
      <c r="Y32" s="12">
        <f>150 + $B32 *$C$3 * 2.3</f>
      </c>
      <c r="Z32" s="12">
        <f>_xlfn.LAMBDA(tp_size, hidden_size, batch_size, 2*batch_size*(tp_size-1)/tp_size*hidden_size*1000*1000/$N$4/1024/1024/1024/$I$6)($F$3, $Q$2,B32*$C$3)</f>
      </c>
      <c r="AA32" s="12">
        <f>_xlfn.LAMBDA(token_size_per_rank, to_nodes,hidden_size, sizeof_dtype, 50 + 4*token_size_per_rank * to_nodes * hidden_size*sizeof_dtype*1000*1000/$N$6/1024/1024/1024/$I$7)(B32*$C$5/$F$3, MIN($F$2,$S$2), $Q$2, 1)</f>
      </c>
      <c r="AB32" s="12">
        <f>_xlfn.LAMBDA(m,n,k, 2*m*n*k*1000*1000/$N$2/1024/1024/1024/1024/$I$3)(C32*$S$2/$F$5,$Q$8*2,$Q$2)</f>
      </c>
      <c r="AC32" s="12">
        <f>_xlfn.LAMBDA(size_of_dtype, experts, ep_size, hidden_size, internal_dim, experts/ep_size*hidden_size*internal_dim*size_of_dtype/$N$3/$K$5/1024/1024/1024/1024*1000*1000)(0.5,$S$3,$F$5,$Q$2,$Q$8*2)</f>
      </c>
      <c r="AD32" s="12">
        <f>_xlfn.LAMBDA(m,n,k, 2*m*n*k*1000*1000/$N$2/1024/1024/1024/1024/$I$3)(C32*$S$2/$F$5,$Q$2,$Q$8)</f>
      </c>
      <c r="AE32" s="12">
        <f>_xlfn.LAMBDA(size_of_dtype, experts, ep_size, hidden_size, internal_dim, experts/ep_size*hidden_size*internal_dim*size_of_dtype/$N$3/$K$5/1024/1024/1024/1024*1000*1000)(0.5,$S$3,$F$5,$Q$8, $Q$2)</f>
      </c>
      <c r="AF32" s="12">
        <f>AA32</f>
      </c>
      <c r="AG32" s="12">
        <f>_xlfn.LAMBDA(tp_size, hidden_size, batch_size, batch_size*(tp_size-1)*hidden_size*1000*1000/$N$4/1024/1024/1024/$I$6)($F$3, $Q$2,B32*$C$3)</f>
      </c>
      <c r="AH32" s="12">
        <f>_xlfn.LAMBDA(seq_len, q_len, bs, 2*seq_len*q_len*bs*2*$Q$3/$F$3*($Q$6 + $Q$7)*1000*1000/1024/1024/1024/1024/$N$5/$I$5)(A32,$C$3,B32)</f>
      </c>
      <c r="AI32" s="12">
        <f>_xlfn.LAMBDA(seq_len, q_len, bs, seq_len*bs*($Q$6 + $Q$7)*1000*1000/1024/1024/1024/1024/$N$3/$K$5)(A32,$C$3,B32)</f>
      </c>
      <c r="AJ32" s="12">
        <f>MAX(D32:E32)+MAX(F32:G32)+MAX(H32:I32)+MAX(J32:K32)+MAX(L32:M32)+MAX(N32:O32)+MAX(P32:Q32)+MAX(R32:S32)+MAX(S32:T32)+MAX(U32:V32)+MAX(W32:X32)+MAX(AB32:AC32)+MAX(AD32:AE32)+SUM(Y32:AA32)+SUM(AF32:AG32)</f>
      </c>
      <c r="AK32" s="12">
        <f>AJ32-MAX(J32:K32)-MAX(L32:M32)-MAX(N32:O32)-MAX(H32:I32)-MAX(S32:T32)+MAX(AH32:AI32)-0.05*AJ32</f>
      </c>
      <c r="AL32" s="12">
        <f>(MAX(AB32:AC32)+MAX(AD32:AE32))/AJ32</f>
      </c>
      <c r="AM32" s="12">
        <f>(MAX(AB32:AC32)+MAX(AD32:AE32))/AK32</f>
      </c>
      <c r="AN32" s="12">
        <f>MAX(S32:T32)/AJ32</f>
      </c>
      <c r="AO32" s="12">
        <f>MAX(AH32:AI32)/AK32</f>
      </c>
      <c r="AP32" s="12">
        <f>AJ32*$Q$9/1000</f>
      </c>
      <c r="AQ32" s="12">
        <f>AK32*$Q$9/1000</f>
      </c>
      <c r="AR32" s="12">
        <f>(AP32+2)/$C$5</f>
      </c>
      <c r="AS32" s="12">
        <f>(AQ32+2)/$C$5</f>
      </c>
      <c r="AT32" s="12">
        <f>B32*1000/AR32/$F$3</f>
      </c>
      <c r="AU32" s="12">
        <f>B32*1000/AS32/$F$3</f>
      </c>
      <c r="AV32" s="13">
        <f>1000000*$N$8/24/60/60/AT32</f>
      </c>
      <c r="AW32" s="13">
        <f>1000000*$N$8/24/60/60/AU32</f>
      </c>
      <c r="AX32" s="13">
        <f>AV32*$C$6</f>
      </c>
      <c r="AY32" s="13">
        <f>AW32*$C$6</f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</row>
    <row r="33">
      <c r="A33" s="4">
        <f>96*1024</f>
      </c>
      <c r="B33" s="4">
        <f>C33/F4/C3</f>
      </c>
      <c r="C33" s="4">
        <v>480</v>
      </c>
      <c r="D33" s="12">
        <v>10</v>
      </c>
      <c r="E33" s="12">
        <f>_xlfn.LAMBDA(m,n,k,(m*k+2*m*n+n*k)*1000*1000/$N$3/1024/1024/1024/1024/$K$5)(B33*$C$3,$Q$10,$Q$2)</f>
      </c>
      <c r="F33" s="12">
        <f>_xlfn.LAMBDA(m,n,k, 2*m*n*k*1000*1000/$N$2/1024/1024/1024/1024/$I$2)(B33*$C$3, $Q$3*(128+64)/$F$3, $Q$10)</f>
      </c>
      <c r="G33" s="12">
        <f>_xlfn.LAMBDA(m,n,k,(m*k+2*m*n+n*k)*1000*1000/$N$3/1024/1024/1024/1024/$K$5)(B33*$C$3, $Q$3*(128+64)/$F$3, $Q$10)</f>
      </c>
      <c r="H33" s="12">
        <v>15</v>
      </c>
      <c r="I33" s="12">
        <f>_xlfn.LAMBDA(m,n,k,(m*k+2*m*n+n*k)*1000*1000/$N$3/1024/1024/1024/1024/$K$5)(B33*$C$3,$Q$11*$Q$12,$Q$10)</f>
      </c>
      <c r="J33" s="12">
        <v>15</v>
      </c>
      <c r="K33" s="12">
        <f>_xlfn.LAMBDA(m,n,k,(m*k+2*m*n+n*k)*1000*1000/$N$3/1024/1024/1024/1024/$K$5)(B33*$C$3,$Q$11,$Q$2)</f>
      </c>
      <c r="L33" s="12">
        <v>5</v>
      </c>
      <c r="M33" s="12">
        <f>_xlfn.LAMBDA(m,n,k,(2*m*k+2*m*n+2*n*k)*1000*1000/$N$3/1024/1024/1024/1024/$K$5)(B33*$C$3,$Q$12,$Q$2)</f>
      </c>
      <c r="N33" s="12">
        <f>_xlfn.LAMBDA(seq_len, q_len, bs, seq_len*q_len*bs*2*($Q$12*$Q$11/$N$5 + $Q$12 / $N$7)*1000*1000/1024/1024/1024/1024/$K$6)(A33,$C$3,B33)</f>
      </c>
      <c r="O33" s="12">
        <f>_xlfn.LAMBDA(seq_len, q_len, bs, (q_len*bs*$Q$12*$Q$11 + seq_len * bs * $Q$11 + q_len*bs*$Q$12*4)*1000*1000/1024/1024/1024/1024/$N$3/$K$5)(A33,$C$3,B33)</f>
      </c>
      <c r="P33" s="12">
        <f>_xlfn.LAMBDA(b, m,n,k, 2*b*m*n*k*1000*1000/$N$7/1024/1024/1024/1024/$I$2)($Q$3, B33*$C$3, 128, $Q$7)</f>
      </c>
      <c r="Q33" s="12">
        <f>_xlfn.LAMBDA(b,m,n,k,b*(2*m*k+2*m*n+2*n*k)*1000*1000/$N$3/1024/1024/1024/1024/$K$5)($Q$3, B33*$C$3, 128, $Q$7)</f>
      </c>
      <c r="R33" s="12">
        <v>10</v>
      </c>
      <c r="S33" s="12">
        <f>_xlfn.LAMBDA(seq_len, q_len, bs, 2*seq_len*q_len*bs*2*$Q$3/$F$3*($Q$6 + $Q$7)*1000*1000/1024/1024/1024/1024/$N$5/$K$6)(MIN(A33,2048),$C$3,B33)</f>
      </c>
      <c r="T33" s="12">
        <f>_xlfn.LAMBDA(seq_len, q_len, bs, seq_len*bs*($Q$6 + $Q$7)*1000*1000/1024/1024/1024/1024/$N$3/$K$5)(MIN(A33,2048),$C$3,B33)</f>
      </c>
      <c r="U33" s="12">
        <f>_xlfn.LAMBDA(b, m,n,k, 2*b*m*n*k*1000*1000/$N$7/1024/1024/1024/1024/$I$2)($Q$3, B33*$C$3, 128, $Q$7)</f>
      </c>
      <c r="V33" s="12">
        <f>_xlfn.LAMBDA(b,m,n,k,b*(2*m*k+2*m*n+2*n*k)*1000*1000/$N$3/1024/1024/1024/1024/$K$5)($Q$3, B33*$C$3, 128, $Q$7)</f>
      </c>
      <c r="W33" s="12">
        <f>_xlfn.LAMBDA(m,n,k, 2*m*n*k*1000*1000/$N$2/1024/1024/1024/1024/$K$2)(B33*$C$3, $Q$3*128/$F$3, $Q$2)</f>
      </c>
      <c r="X33" s="12">
        <f>_xlfn.LAMBDA(m,n,k,(m*k+2*m*n+n*k)*1000*1000/$N$3/1024/1024/1024/1024/$K$5)(B33*$C$3, $Q$3*128/$F$3, $Q$2)</f>
      </c>
      <c r="Y33" s="12">
        <f>150 + $B33 *$C$3 * 2.3</f>
      </c>
      <c r="Z33" s="12">
        <f>_xlfn.LAMBDA(tp_size, hidden_size, batch_size, 2*batch_size*(tp_size-1)/tp_size*hidden_size*1000*1000/$N$4/1024/1024/1024/$I$6)($F$3, $Q$2,B33*$C$3)</f>
      </c>
      <c r="AA33" s="12">
        <f>_xlfn.LAMBDA(token_size_per_rank, to_nodes,hidden_size, sizeof_dtype, 50 + 4*token_size_per_rank * to_nodes * hidden_size*sizeof_dtype*1000*1000/$N$6/1024/1024/1024/$I$7)(B33*$C$5/$F$3, MIN($F$2,$S$2), $Q$2, 1)</f>
      </c>
      <c r="AB33" s="12">
        <f>_xlfn.LAMBDA(m,n,k, 2*m*n*k*1000*1000/$N$2/1024/1024/1024/1024/$I$3)(C33*$S$2/$F$5,$Q$8*2,$Q$2)</f>
      </c>
      <c r="AC33" s="12">
        <f>_xlfn.LAMBDA(size_of_dtype, experts, ep_size, hidden_size, internal_dim, experts/ep_size*hidden_size*internal_dim*size_of_dtype/$N$3/$K$5/1024/1024/1024/1024*1000*1000)(0.5,$S$3,$F$5,$Q$2,$Q$8*2)</f>
      </c>
      <c r="AD33" s="12">
        <f>_xlfn.LAMBDA(m,n,k, 2*m*n*k*1000*1000/$N$2/1024/1024/1024/1024/$I$3)(C33*$S$2/$F$5,$Q$2,$Q$8)</f>
      </c>
      <c r="AE33" s="12">
        <f>_xlfn.LAMBDA(size_of_dtype, experts, ep_size, hidden_size, internal_dim, experts/ep_size*hidden_size*internal_dim*size_of_dtype/$N$3/$K$5/1024/1024/1024/1024*1000*1000)(0.5,$S$3,$F$5,$Q$8, $Q$2)</f>
      </c>
      <c r="AF33" s="12">
        <f>AA33</f>
      </c>
      <c r="AG33" s="12">
        <f>_xlfn.LAMBDA(tp_size, hidden_size, batch_size, batch_size*(tp_size-1)*hidden_size*1000*1000/$N$4/1024/1024/1024/$I$6)($F$3, $Q$2,B33*$C$3)</f>
      </c>
      <c r="AH33" s="12">
        <f>_xlfn.LAMBDA(seq_len, q_len, bs, 2*seq_len*q_len*bs*2*$Q$3/$F$3*($Q$6 + $Q$7)*1000*1000/1024/1024/1024/1024/$N$5/$I$5)(A33,$C$3,B33)</f>
      </c>
      <c r="AI33" s="12">
        <f>_xlfn.LAMBDA(seq_len, q_len, bs, seq_len*bs*($Q$6 + $Q$7)*1000*1000/1024/1024/1024/1024/$N$3/$K$5)(A33,$C$3,B33)</f>
      </c>
      <c r="AJ33" s="12">
        <f>MAX(D33:E33)+MAX(F33:G33)+MAX(H33:I33)+MAX(J33:K33)+MAX(L33:M33)+MAX(N33:O33)+MAX(P33:Q33)+MAX(R33:S33)+MAX(S33:T33)+MAX(U33:V33)+MAX(W33:X33)+MAX(AB33:AC33)+MAX(AD33:AE33)+SUM(Y33:AA33)+SUM(AF33:AG33)</f>
      </c>
      <c r="AK33" s="12">
        <f>AJ33-MAX(J33:K33)-MAX(L33:M33)-MAX(N33:O33)-MAX(H33:I33)-MAX(S33:T33)+MAX(AH33:AI33)-0.05*AJ33</f>
      </c>
      <c r="AL33" s="12">
        <f>(MAX(AB33:AC33)+MAX(AD33:AE33))/AJ33</f>
      </c>
      <c r="AM33" s="12">
        <f>(MAX(AB33:AC33)+MAX(AD33:AE33))/AK33</f>
      </c>
      <c r="AN33" s="12">
        <f>MAX(S33:T33)/AJ33</f>
      </c>
      <c r="AO33" s="12">
        <f>MAX(AH33:AI33)/AK33</f>
      </c>
      <c r="AP33" s="12">
        <f>AJ33*$Q$9/1000</f>
      </c>
      <c r="AQ33" s="12">
        <f>AK33*$Q$9/1000</f>
      </c>
      <c r="AR33" s="12">
        <f>(AP33+2)/$C$5</f>
      </c>
      <c r="AS33" s="12">
        <f>(AQ33+2)/$C$5</f>
      </c>
      <c r="AT33" s="12">
        <f>B33*1000/AR33/$F$3</f>
      </c>
      <c r="AU33" s="12">
        <f>B33*1000/AS33/$F$3</f>
      </c>
      <c r="AV33" s="13">
        <f>1000000*$N$8/24/60/60/AT33</f>
      </c>
      <c r="AW33" s="13">
        <f>1000000*$N$8/24/60/60/AU33</f>
      </c>
      <c r="AX33" s="13">
        <f>AV33*$C$6</f>
      </c>
      <c r="AY33" s="13">
        <f>AW33*$C$6</f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</row>
    <row r="34">
      <c r="A34" s="4">
        <f>128*1024</f>
      </c>
      <c r="B34" s="4">
        <f>C34/F4/C3</f>
      </c>
      <c r="C34" s="4">
        <v>480</v>
      </c>
      <c r="D34" s="12">
        <v>10</v>
      </c>
      <c r="E34" s="12">
        <f>_xlfn.LAMBDA(m,n,k,(m*k+2*m*n+n*k)*1000*1000/$N$3/1024/1024/1024/1024/$K$5)(B34*$C$3,$Q$10,$Q$2)</f>
      </c>
      <c r="F34" s="12">
        <f>_xlfn.LAMBDA(m,n,k, 2*m*n*k*1000*1000/$N$2/1024/1024/1024/1024/$I$2)(B34*$C$3, $Q$3*(128+64)/$F$3, $Q$10)</f>
      </c>
      <c r="G34" s="12">
        <f>_xlfn.LAMBDA(m,n,k,(m*k+2*m*n+n*k)*1000*1000/$N$3/1024/1024/1024/1024/$K$5)(B34*$C$3, $Q$3*(128+64)/$F$3, $Q$10)</f>
      </c>
      <c r="H34" s="12">
        <v>15</v>
      </c>
      <c r="I34" s="12">
        <f>_xlfn.LAMBDA(m,n,k,(m*k+2*m*n+n*k)*1000*1000/$N$3/1024/1024/1024/1024/$K$5)(B34*$C$3,$Q$11*$Q$12,$Q$10)</f>
      </c>
      <c r="J34" s="12">
        <v>15</v>
      </c>
      <c r="K34" s="12">
        <f>_xlfn.LAMBDA(m,n,k,(m*k+2*m*n+n*k)*1000*1000/$N$3/1024/1024/1024/1024/$K$5)(B34*$C$3,$Q$11,$Q$2)</f>
      </c>
      <c r="L34" s="12">
        <v>5</v>
      </c>
      <c r="M34" s="12">
        <f>_xlfn.LAMBDA(m,n,k,(2*m*k+2*m*n+2*n*k)*1000*1000/$N$3/1024/1024/1024/1024/$K$5)(B34*$C$3,$Q$12,$Q$2)</f>
      </c>
      <c r="N34" s="12">
        <f>_xlfn.LAMBDA(seq_len, q_len, bs, seq_len*q_len*bs*2*($Q$12*$Q$11/$N$5 + $Q$12 / $N$7)*1000*1000/1024/1024/1024/1024/$K$6)(A34,$C$3,B34)</f>
      </c>
      <c r="O34" s="12">
        <f>_xlfn.LAMBDA(seq_len, q_len, bs, (q_len*bs*$Q$12*$Q$11 + seq_len * bs * $Q$11 + q_len*bs*$Q$12*4)*1000*1000/1024/1024/1024/1024/$N$3/$K$5)(A34,$C$3,B34)</f>
      </c>
      <c r="P34" s="12">
        <f>_xlfn.LAMBDA(b, m,n,k, 2*b*m*n*k*1000*1000/$N$7/1024/1024/1024/1024/$I$2)($Q$3, B34*$C$3, 128, $Q$7)</f>
      </c>
      <c r="Q34" s="12">
        <f>_xlfn.LAMBDA(b,m,n,k,b*(2*m*k+2*m*n+2*n*k)*1000*1000/$N$3/1024/1024/1024/1024/$K$5)($Q$3, B34*$C$3, 128, $Q$7)</f>
      </c>
      <c r="R34" s="12">
        <v>10</v>
      </c>
      <c r="S34" s="12">
        <f>_xlfn.LAMBDA(seq_len, q_len, bs, 2*seq_len*q_len*bs*2*$Q$3/$F$3*($Q$6 + $Q$7)*1000*1000/1024/1024/1024/1024/$N$5/$K$6)(MIN(A34,2048),$C$3,B34)</f>
      </c>
      <c r="T34" s="12">
        <f>_xlfn.LAMBDA(seq_len, q_len, bs, seq_len*bs*($Q$6 + $Q$7)*1000*1000/1024/1024/1024/1024/$N$3/$K$5)(MIN(A34,2048),$C$3,B34)</f>
      </c>
      <c r="U34" s="12">
        <f>_xlfn.LAMBDA(b, m,n,k, 2*b*m*n*k*1000*1000/$N$7/1024/1024/1024/1024/$I$2)($Q$3, B34*$C$3, 128, $Q$7)</f>
      </c>
      <c r="V34" s="12">
        <f>_xlfn.LAMBDA(b,m,n,k,b*(2*m*k+2*m*n+2*n*k)*1000*1000/$N$3/1024/1024/1024/1024/$K$5)($Q$3, B34*$C$3, 128, $Q$7)</f>
      </c>
      <c r="W34" s="12">
        <f>_xlfn.LAMBDA(m,n,k, 2*m*n*k*1000*1000/$N$2/1024/1024/1024/1024/$K$2)(B34*$C$3, $Q$3*128/$F$3, $Q$2)</f>
      </c>
      <c r="X34" s="12">
        <f>_xlfn.LAMBDA(m,n,k,(m*k+2*m*n+n*k)*1000*1000/$N$3/1024/1024/1024/1024/$K$5)(B34*$C$3, $Q$3*128/$F$3, $Q$2)</f>
      </c>
      <c r="Y34" s="12">
        <f>150 + $B34 *$C$3 * 2.3</f>
      </c>
      <c r="Z34" s="12">
        <f>_xlfn.LAMBDA(tp_size, hidden_size, batch_size, 2*batch_size*(tp_size-1)/tp_size*hidden_size*1000*1000/$N$4/1024/1024/1024/$I$6)($F$3, $Q$2,B34*$C$3)</f>
      </c>
      <c r="AA34" s="12">
        <f>_xlfn.LAMBDA(token_size_per_rank, to_nodes,hidden_size, sizeof_dtype, 50 + 4*token_size_per_rank * to_nodes * hidden_size*sizeof_dtype*1000*1000/$N$6/1024/1024/1024/$I$7)(B34*$C$5/$F$3, MIN($F$2,$S$2), $Q$2, 1)</f>
      </c>
      <c r="AB34" s="12">
        <f>_xlfn.LAMBDA(m,n,k, 2*m*n*k*1000*1000/$N$2/1024/1024/1024/1024/$I$3)(C34*$S$2/$F$5,$Q$8*2,$Q$2)</f>
      </c>
      <c r="AC34" s="12">
        <f>_xlfn.LAMBDA(size_of_dtype, experts, ep_size, hidden_size, internal_dim, experts/ep_size*hidden_size*internal_dim*size_of_dtype/$N$3/$K$5/1024/1024/1024/1024*1000*1000)(0.5,$S$3,$F$5,$Q$2,$Q$8*2)</f>
      </c>
      <c r="AD34" s="12">
        <f>_xlfn.LAMBDA(m,n,k, 2*m*n*k*1000*1000/$N$2/1024/1024/1024/1024/$I$3)(C34*$S$2/$F$5,$Q$2,$Q$8)</f>
      </c>
      <c r="AE34" s="12">
        <f>_xlfn.LAMBDA(size_of_dtype, experts, ep_size, hidden_size, internal_dim, experts/ep_size*hidden_size*internal_dim*size_of_dtype/$N$3/$K$5/1024/1024/1024/1024*1000*1000)(0.5,$S$3,$F$5,$Q$8, $Q$2)</f>
      </c>
      <c r="AF34" s="12">
        <f>AA34</f>
      </c>
      <c r="AG34" s="12">
        <f>_xlfn.LAMBDA(tp_size, hidden_size, batch_size, batch_size*(tp_size-1)*hidden_size*1000*1000/$N$4/1024/1024/1024/$I$6)($F$3, $Q$2,B34*$C$3)</f>
      </c>
      <c r="AH34" s="12">
        <f>_xlfn.LAMBDA(seq_len, q_len, bs, 2*seq_len*q_len*bs*2*$Q$3/$F$3*($Q$6 + $Q$7)*1000*1000/1024/1024/1024/1024/$N$5/$I$5)(A34,$C$3,B34)</f>
      </c>
      <c r="AI34" s="12">
        <f>_xlfn.LAMBDA(seq_len, q_len, bs, seq_len*bs*($Q$6 + $Q$7)*1000*1000/1024/1024/1024/1024/$N$3/$K$5)(A34,$C$3,B34)</f>
      </c>
      <c r="AJ34" s="12">
        <f>MAX(D34:E34)+MAX(F34:G34)+MAX(H34:I34)+MAX(J34:K34)+MAX(L34:M34)+MAX(N34:O34)+MAX(P34:Q34)+MAX(R34:S34)+MAX(S34:T34)+MAX(U34:V34)+MAX(W34:X34)+MAX(AB34:AC34)+MAX(AD34:AE34)+SUM(Y34:AA34)+SUM(AF34:AG34)</f>
      </c>
      <c r="AK34" s="12">
        <f>AJ34-MAX(J34:K34)-MAX(L34:M34)-MAX(N34:O34)-MAX(H34:I34)-MAX(S34:T34)+MAX(AH34:AI34)-0.05*AJ34</f>
      </c>
      <c r="AL34" s="12">
        <f>(MAX(AB34:AC34)+MAX(AD34:AE34))/AJ34</f>
      </c>
      <c r="AM34" s="12">
        <f>(MAX(AB34:AC34)+MAX(AD34:AE34))/AK34</f>
      </c>
      <c r="AN34" s="12">
        <f>MAX(S34:T34)/AJ34</f>
      </c>
      <c r="AO34" s="12">
        <f>MAX(AH34:AI34)/AK34</f>
      </c>
      <c r="AP34" s="12">
        <f>AJ34*$Q$9/1000</f>
      </c>
      <c r="AQ34" s="12">
        <f>AK34*$Q$9/1000</f>
      </c>
      <c r="AR34" s="12">
        <f>(AP34+2)/$C$5</f>
      </c>
      <c r="AS34" s="12">
        <f>(AQ34+2)/$C$5</f>
      </c>
      <c r="AT34" s="12">
        <f>B34*1000/AR34/$F$3</f>
      </c>
      <c r="AU34" s="12">
        <f>B34*1000/AS34/$F$3</f>
      </c>
      <c r="AV34" s="13">
        <f>1000000*$N$8/24/60/60/AT34</f>
      </c>
      <c r="AW34" s="13">
        <f>1000000*$N$8/24/60/60/AU34</f>
      </c>
      <c r="AX34" s="13">
        <f>AV34*$C$6</f>
      </c>
      <c r="AY34" s="13">
        <f>AW34*$C$6</f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</row>
    <row r="35">
      <c r="A35" s="4">
        <f>192*1024</f>
      </c>
      <c r="B35" s="4">
        <f>C35/F4/C3</f>
      </c>
      <c r="C35" s="4">
        <v>480</v>
      </c>
      <c r="D35" s="12">
        <v>10</v>
      </c>
      <c r="E35" s="12">
        <f>_xlfn.LAMBDA(m,n,k,(m*k+2*m*n+n*k)*1000*1000/$N$3/1024/1024/1024/1024/$K$5)(B35*$C$3,$Q$10,$Q$2)</f>
      </c>
      <c r="F35" s="12">
        <f>_xlfn.LAMBDA(m,n,k, 2*m*n*k*1000*1000/$N$2/1024/1024/1024/1024/$I$2)(B35*$C$3, $Q$3*(128+64)/$F$3, $Q$10)</f>
      </c>
      <c r="G35" s="12">
        <f>_xlfn.LAMBDA(m,n,k,(m*k+2*m*n+n*k)*1000*1000/$N$3/1024/1024/1024/1024/$K$5)(B35*$C$3, $Q$3*(128+64)/$F$3, $Q$10)</f>
      </c>
      <c r="H35" s="12">
        <v>15</v>
      </c>
      <c r="I35" s="12">
        <f>_xlfn.LAMBDA(m,n,k,(m*k+2*m*n+n*k)*1000*1000/$N$3/1024/1024/1024/1024/$K$5)(B35*$C$3,$Q$11*$Q$12,$Q$10)</f>
      </c>
      <c r="J35" s="12">
        <v>15</v>
      </c>
      <c r="K35" s="12">
        <f>_xlfn.LAMBDA(m,n,k,(m*k+2*m*n+n*k)*1000*1000/$N$3/1024/1024/1024/1024/$K$5)(B35*$C$3,$Q$11,$Q$2)</f>
      </c>
      <c r="L35" s="12">
        <v>5</v>
      </c>
      <c r="M35" s="12">
        <f>_xlfn.LAMBDA(m,n,k,(2*m*k+2*m*n+2*n*k)*1000*1000/$N$3/1024/1024/1024/1024/$K$5)(B35*$C$3,$Q$12,$Q$2)</f>
      </c>
      <c r="N35" s="12">
        <f>_xlfn.LAMBDA(seq_len, q_len, bs, seq_len*q_len*bs*2*($Q$12*$Q$11/$N$5 + $Q$12 / $N$7)*1000*1000/1024/1024/1024/1024/$K$6)(A35,$C$3,B35)</f>
      </c>
      <c r="O35" s="12">
        <f>_xlfn.LAMBDA(seq_len, q_len, bs, (q_len*bs*$Q$12*$Q$11 + seq_len * bs * $Q$11 + q_len*bs*$Q$12*4)*1000*1000/1024/1024/1024/1024/$N$3/$K$5)(A35,$C$3,B35)</f>
      </c>
      <c r="P35" s="12">
        <f>_xlfn.LAMBDA(b, m,n,k, 2*b*m*n*k*1000*1000/$N$7/1024/1024/1024/1024/$I$2)($Q$3, B35*$C$3, 128, $Q$7)</f>
      </c>
      <c r="Q35" s="12">
        <f>_xlfn.LAMBDA(b,m,n,k,b*(2*m*k+2*m*n+2*n*k)*1000*1000/$N$3/1024/1024/1024/1024/$K$5)($Q$3, B35*$C$3, 128, $Q$7)</f>
      </c>
      <c r="R35" s="12">
        <v>10</v>
      </c>
      <c r="S35" s="12">
        <f>_xlfn.LAMBDA(seq_len, q_len, bs, 2*seq_len*q_len*bs*2*$Q$3/$F$3*($Q$6 + $Q$7)*1000*1000/1024/1024/1024/1024/$N$5/$K$6)(MIN(A35,2048),$C$3,B35)</f>
      </c>
      <c r="T35" s="12">
        <f>_xlfn.LAMBDA(seq_len, q_len, bs, seq_len*bs*($Q$6 + $Q$7)*1000*1000/1024/1024/1024/1024/$N$3/$K$5)(MIN(A35,2048),$C$3,B35)</f>
      </c>
      <c r="U35" s="12">
        <f>_xlfn.LAMBDA(b, m,n,k, 2*b*m*n*k*1000*1000/$N$7/1024/1024/1024/1024/$I$2)($Q$3, B35*$C$3, 128, $Q$7)</f>
      </c>
      <c r="V35" s="12">
        <f>_xlfn.LAMBDA(b,m,n,k,b*(2*m*k+2*m*n+2*n*k)*1000*1000/$N$3/1024/1024/1024/1024/$K$5)($Q$3, B35*$C$3, 128, $Q$7)</f>
      </c>
      <c r="W35" s="12">
        <f>_xlfn.LAMBDA(m,n,k, 2*m*n*k*1000*1000/$N$2/1024/1024/1024/1024/$K$2)(B35*$C$3, $Q$3*128/$F$3, $Q$2)</f>
      </c>
      <c r="X35" s="12">
        <f>_xlfn.LAMBDA(m,n,k,(m*k+2*m*n+n*k)*1000*1000/$N$3/1024/1024/1024/1024/$K$5)(B35*$C$3, $Q$3*128/$F$3, $Q$2)</f>
      </c>
      <c r="Y35" s="12">
        <f>150 + $B35 *$C$3 * 2.3</f>
      </c>
      <c r="Z35" s="12">
        <f>_xlfn.LAMBDA(tp_size, hidden_size, batch_size, 2*batch_size*(tp_size-1)/tp_size*hidden_size*1000*1000/$N$4/1024/1024/1024/$I$6)($F$3, $Q$2,B35*$C$3)</f>
      </c>
      <c r="AA35" s="12">
        <f>_xlfn.LAMBDA(token_size_per_rank, to_nodes,hidden_size, sizeof_dtype, 50 + 4*token_size_per_rank * to_nodes * hidden_size*sizeof_dtype*1000*1000/$N$6/1024/1024/1024/$I$7)(B35*$C$5/$F$3, MIN($F$2,$S$2), $Q$2, 1)</f>
      </c>
      <c r="AB35" s="12">
        <f>_xlfn.LAMBDA(m,n,k, 2*m*n*k*1000*1000/$N$2/1024/1024/1024/1024/$I$3)(C35*$S$2/$F$5,$Q$8*2,$Q$2)</f>
      </c>
      <c r="AC35" s="12">
        <f>_xlfn.LAMBDA(size_of_dtype, experts, ep_size, hidden_size, internal_dim, experts/ep_size*hidden_size*internal_dim*size_of_dtype/$N$3/$K$5/1024/1024/1024/1024*1000*1000)(0.5,$S$3,$F$5,$Q$2,$Q$8*2)</f>
      </c>
      <c r="AD35" s="12">
        <f>_xlfn.LAMBDA(m,n,k, 2*m*n*k*1000*1000/$N$2/1024/1024/1024/1024/$I$3)(C35*$S$2/$F$5,$Q$2,$Q$8)</f>
      </c>
      <c r="AE35" s="12">
        <f>_xlfn.LAMBDA(size_of_dtype, experts, ep_size, hidden_size, internal_dim, experts/ep_size*hidden_size*internal_dim*size_of_dtype/$N$3/$K$5/1024/1024/1024/1024*1000*1000)(0.5,$S$3,$F$5,$Q$8, $Q$2)</f>
      </c>
      <c r="AF35" s="12">
        <f>AA35</f>
      </c>
      <c r="AG35" s="12">
        <f>_xlfn.LAMBDA(tp_size, hidden_size, batch_size, batch_size*(tp_size-1)*hidden_size*1000*1000/$N$4/1024/1024/1024/$I$6)($F$3, $Q$2,B35*$C$3)</f>
      </c>
      <c r="AH35" s="12">
        <f>_xlfn.LAMBDA(seq_len, q_len, bs, 2*seq_len*q_len*bs*2*$Q$3/$F$3*($Q$6 + $Q$7)*1000*1000/1024/1024/1024/1024/$N$5/$I$5)(A35,$C$3,B35)</f>
      </c>
      <c r="AI35" s="12">
        <f>_xlfn.LAMBDA(seq_len, q_len, bs, seq_len*bs*($Q$6 + $Q$7)*1000*1000/1024/1024/1024/1024/$N$3/$K$5)(A35,$C$3,B35)</f>
      </c>
      <c r="AJ35" s="12">
        <f>MAX(D35:E35)+MAX(F35:G35)+MAX(H35:I35)+MAX(J35:K35)+MAX(L35:M35)+MAX(N35:O35)+MAX(P35:Q35)+MAX(R35:S35)+MAX(S35:T35)+MAX(U35:V35)+MAX(W35:X35)+MAX(AB35:AC35)+MAX(AD35:AE35)+SUM(Y35:AA35)+SUM(AF35:AG35)</f>
      </c>
      <c r="AK35" s="12">
        <f>AJ35-MAX(J35:K35)-MAX(L35:M35)-MAX(N35:O35)-MAX(H35:I35)-MAX(S35:T35)+MAX(AH35:AI35)-0.05*AJ35</f>
      </c>
      <c r="AL35" s="12">
        <f>(MAX(AB35:AC35)+MAX(AD35:AE35))/AJ35</f>
      </c>
      <c r="AM35" s="12">
        <f>(MAX(AB35:AC35)+MAX(AD35:AE35))/AK35</f>
      </c>
      <c r="AN35" s="12">
        <f>MAX(S35:T35)/AJ35</f>
      </c>
      <c r="AO35" s="12">
        <f>MAX(AH35:AI35)/AK35</f>
      </c>
      <c r="AP35" s="12">
        <f>AJ35*$Q$9/1000</f>
      </c>
      <c r="AQ35" s="12">
        <f>AK35*$Q$9/1000</f>
      </c>
      <c r="AR35" s="12">
        <f>(AP35+2)/$C$5</f>
      </c>
      <c r="AS35" s="12">
        <f>(AQ35+2)/$C$5</f>
      </c>
      <c r="AT35" s="12">
        <f>B35*1000/AR35/$F$3</f>
      </c>
      <c r="AU35" s="12">
        <f>B35*1000/AS35/$F$3</f>
      </c>
      <c r="AV35" s="13">
        <f>1000000*$N$8/24/60/60/AT35</f>
      </c>
      <c r="AW35" s="13">
        <f>1000000*$N$8/24/60/60/AU35</f>
      </c>
      <c r="AX35" s="13">
        <f>AV35*$C$6</f>
      </c>
      <c r="AY35" s="13">
        <f>AW35*$C$6</f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</row>
    <row r="36">
      <c r="A36" s="4">
        <f>256*1024</f>
      </c>
      <c r="B36" s="4">
        <f>C36/F4/C3</f>
      </c>
      <c r="C36" s="4">
        <v>480</v>
      </c>
      <c r="D36" s="12">
        <v>10</v>
      </c>
      <c r="E36" s="12">
        <f>_xlfn.LAMBDA(m,n,k,(m*k+2*m*n+n*k)*1000*1000/$N$3/1024/1024/1024/1024/$K$5)(B36*$C$3,$Q$10,$Q$2)</f>
      </c>
      <c r="F36" s="12">
        <f>_xlfn.LAMBDA(m,n,k, 2*m*n*k*1000*1000/$N$2/1024/1024/1024/1024/$I$2)(B36*$C$3, $Q$3*(128+64)/$F$3, $Q$10)</f>
      </c>
      <c r="G36" s="12">
        <f>_xlfn.LAMBDA(m,n,k,(m*k+2*m*n+n*k)*1000*1000/$N$3/1024/1024/1024/1024/$K$5)(B36*$C$3, $Q$3*(128+64)/$F$3, $Q$10)</f>
      </c>
      <c r="H36" s="12">
        <v>15</v>
      </c>
      <c r="I36" s="12">
        <f>_xlfn.LAMBDA(m,n,k,(m*k+2*m*n+n*k)*1000*1000/$N$3/1024/1024/1024/1024/$K$5)(B36*$C$3,$Q$11*$Q$12,$Q$10)</f>
      </c>
      <c r="J36" s="12">
        <v>15</v>
      </c>
      <c r="K36" s="12">
        <f>_xlfn.LAMBDA(m,n,k,(m*k+2*m*n+n*k)*1000*1000/$N$3/1024/1024/1024/1024/$K$5)(B36*$C$3,$Q$11,$Q$2)</f>
      </c>
      <c r="L36" s="12">
        <v>5</v>
      </c>
      <c r="M36" s="12">
        <f>_xlfn.LAMBDA(m,n,k,(2*m*k+2*m*n+2*n*k)*1000*1000/$N$3/1024/1024/1024/1024/$K$5)(B36*$C$3,$Q$12,$Q$2)</f>
      </c>
      <c r="N36" s="12">
        <f>_xlfn.LAMBDA(seq_len, q_len, bs, seq_len*q_len*bs*2*($Q$12*$Q$11/$N$5 + $Q$12 / $N$7)*1000*1000/1024/1024/1024/1024/$K$6)(A36,$C$3,B36)</f>
      </c>
      <c r="O36" s="12">
        <f>_xlfn.LAMBDA(seq_len, q_len, bs, (q_len*bs*$Q$12*$Q$11 + seq_len * bs * $Q$11 + q_len*bs*$Q$12*4)*1000*1000/1024/1024/1024/1024/$N$3/$K$5)(A36,$C$3,B36)</f>
      </c>
      <c r="P36" s="12">
        <f>_xlfn.LAMBDA(b, m,n,k, 2*b*m*n*k*1000*1000/$N$7/1024/1024/1024/1024/$I$2)($Q$3, B36*$C$3, 128, $Q$7)</f>
      </c>
      <c r="Q36" s="12">
        <f>_xlfn.LAMBDA(b,m,n,k,b*(2*m*k+2*m*n+2*n*k)*1000*1000/$N$3/1024/1024/1024/1024/$K$5)($Q$3, B36*$C$3, 128, $Q$7)</f>
      </c>
      <c r="R36" s="12">
        <v>10</v>
      </c>
      <c r="S36" s="12">
        <f>_xlfn.LAMBDA(seq_len, q_len, bs, 2*seq_len*q_len*bs*2*$Q$3/$F$3*($Q$6 + $Q$7)*1000*1000/1024/1024/1024/1024/$N$5/$K$6)(MIN(A36,2048),$C$3,B36)</f>
      </c>
      <c r="T36" s="12">
        <f>_xlfn.LAMBDA(seq_len, q_len, bs, seq_len*bs*($Q$6 + $Q$7)*1000*1000/1024/1024/1024/1024/$N$3/$K$5)(MIN(A36,2048),$C$3,B36)</f>
      </c>
      <c r="U36" s="12">
        <f>_xlfn.LAMBDA(b, m,n,k, 2*b*m*n*k*1000*1000/$N$7/1024/1024/1024/1024/$I$2)($Q$3, B36*$C$3, 128, $Q$7)</f>
      </c>
      <c r="V36" s="12">
        <f>_xlfn.LAMBDA(b,m,n,k,b*(2*m*k+2*m*n+2*n*k)*1000*1000/$N$3/1024/1024/1024/1024/$K$5)($Q$3, B36*$C$3, 128, $Q$7)</f>
      </c>
      <c r="W36" s="12">
        <f>_xlfn.LAMBDA(m,n,k, 2*m*n*k*1000*1000/$N$2/1024/1024/1024/1024/$K$2)(B36*$C$3, $Q$3*128/$F$3, $Q$2)</f>
      </c>
      <c r="X36" s="12">
        <f>_xlfn.LAMBDA(m,n,k,(m*k+2*m*n+n*k)*1000*1000/$N$3/1024/1024/1024/1024/$K$5)(B36*$C$3, $Q$3*128/$F$3, $Q$2)</f>
      </c>
      <c r="Y36" s="12">
        <f>150 + $B36 *$C$3 * 2.3</f>
      </c>
      <c r="Z36" s="12">
        <f>_xlfn.LAMBDA(tp_size, hidden_size, batch_size, 2*batch_size*(tp_size-1)/tp_size*hidden_size*1000*1000/$N$4/1024/1024/1024/$I$6)($F$3, $Q$2,B36*$C$3)</f>
      </c>
      <c r="AA36" s="12">
        <f>_xlfn.LAMBDA(token_size_per_rank, to_nodes,hidden_size, sizeof_dtype, 50 + 4*token_size_per_rank * to_nodes * hidden_size*sizeof_dtype*1000*1000/$N$6/1024/1024/1024/$I$7)(B36*$C$5/$F$3, MIN($F$2,$S$2), $Q$2, 1)</f>
      </c>
      <c r="AB36" s="12">
        <f>_xlfn.LAMBDA(m,n,k, 2*m*n*k*1000*1000/$N$2/1024/1024/1024/1024/$I$3)(C36*$S$2/$F$5,$Q$8*2,$Q$2)</f>
      </c>
      <c r="AC36" s="12">
        <f>_xlfn.LAMBDA(size_of_dtype, experts, ep_size, hidden_size, internal_dim, experts/ep_size*hidden_size*internal_dim*size_of_dtype/$N$3/$K$5/1024/1024/1024/1024*1000*1000)(0.5,$S$3,$F$5,$Q$2,$Q$8*2)</f>
      </c>
      <c r="AD36" s="12">
        <f>_xlfn.LAMBDA(m,n,k, 2*m*n*k*1000*1000/$N$2/1024/1024/1024/1024/$I$3)(C36*$S$2/$F$5,$Q$2,$Q$8)</f>
      </c>
      <c r="AE36" s="12">
        <f>_xlfn.LAMBDA(size_of_dtype, experts, ep_size, hidden_size, internal_dim, experts/ep_size*hidden_size*internal_dim*size_of_dtype/$N$3/$K$5/1024/1024/1024/1024*1000*1000)(0.5,$S$3,$F$5,$Q$8, $Q$2)</f>
      </c>
      <c r="AF36" s="12">
        <f>AA36</f>
      </c>
      <c r="AG36" s="12">
        <f>_xlfn.LAMBDA(tp_size, hidden_size, batch_size, batch_size*(tp_size-1)*hidden_size*1000*1000/$N$4/1024/1024/1024/$I$6)($F$3, $Q$2,B36*$C$3)</f>
      </c>
      <c r="AH36" s="12">
        <f>_xlfn.LAMBDA(seq_len, q_len, bs, 2*seq_len*q_len*bs*2*$Q$3/$F$3*($Q$6 + $Q$7)*1000*1000/1024/1024/1024/1024/$N$5/$I$5)(A36,$C$3,B36)</f>
      </c>
      <c r="AI36" s="12">
        <f>_xlfn.LAMBDA(seq_len, q_len, bs, seq_len*bs*($Q$6 + $Q$7)*1000*1000/1024/1024/1024/1024/$N$3/$K$5)(A36,$C$3,B36)</f>
      </c>
      <c r="AJ36" s="12">
        <f>MAX(D36:E36)+MAX(F36:G36)+MAX(H36:I36)+MAX(J36:K36)+MAX(L36:M36)+MAX(N36:O36)+MAX(P36:Q36)+MAX(R36:S36)+MAX(S36:T36)+MAX(U36:V36)+MAX(W36:X36)+MAX(AB36:AC36)+MAX(AD36:AE36)+SUM(Y36:AA36)+SUM(AF36:AG36)</f>
      </c>
      <c r="AK36" s="12">
        <f>AJ36-MAX(J36:K36)-MAX(L36:M36)-MAX(N36:O36)-MAX(H36:I36)-MAX(S36:T36)+MAX(AH36:AI36)-0.05*AJ36</f>
      </c>
      <c r="AL36" s="12">
        <f>(MAX(AB36:AC36)+MAX(AD36:AE36))/AJ36</f>
      </c>
      <c r="AM36" s="12">
        <f>(MAX(AB36:AC36)+MAX(AD36:AE36))/AK36</f>
      </c>
      <c r="AN36" s="12">
        <f>MAX(S36:T36)/AJ36</f>
      </c>
      <c r="AO36" s="12">
        <f>MAX(AH36:AI36)/AK36</f>
      </c>
      <c r="AP36" s="12">
        <f>AJ36*$Q$9/1000</f>
      </c>
      <c r="AQ36" s="12">
        <f>AK36*$Q$9/1000</f>
      </c>
      <c r="AR36" s="12">
        <f>(AP36+2)/$C$5</f>
      </c>
      <c r="AS36" s="12">
        <f>(AQ36+2)/$C$5</f>
      </c>
      <c r="AT36" s="12">
        <f>B36*1000/AR36/$F$3</f>
      </c>
      <c r="AU36" s="12">
        <f>B36*1000/AS36/$F$3</f>
      </c>
      <c r="AV36" s="13">
        <f>1000000*$N$8/24/60/60/AT36</f>
      </c>
      <c r="AW36" s="13">
        <f>1000000*$N$8/24/60/60/AU36</f>
      </c>
      <c r="AX36" s="13">
        <f>AV36*$C$6</f>
      </c>
      <c r="AY36" s="13">
        <f>AW36*$C$6</f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2"/>
      <c r="AW39" s="2"/>
      <c r="AX39" s="2"/>
      <c r="AY39" s="2"/>
      <c r="AZ39" s="2"/>
      <c r="BA39" s="2"/>
      <c r="BB39" s="2"/>
      <c r="BC39" s="2" t="str">
        <v>输入长度</v>
      </c>
      <c r="BD39" s="2" t="str">
        <v>输出长度</v>
      </c>
      <c r="BE39" s="2" t="str">
        <v>输入价格</v>
      </c>
      <c r="BF39" s="2" t="str">
        <v>输出价格</v>
      </c>
      <c r="BG39" s="2" t="str">
        <v>输入成本</v>
      </c>
      <c r="BH39" s="2" t="str">
        <v>输出成本</v>
      </c>
      <c r="BI39" s="2" t="str">
        <v>毛利率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</row>
    <row r="40">
      <c r="A40" s="16" t="str">
        <v>Prefill 分段成本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2"/>
      <c r="AA40" s="2"/>
      <c r="AB40" s="2"/>
      <c r="AC40" s="2"/>
      <c r="AD40" s="2"/>
      <c r="AE40" s="2"/>
      <c r="AF40" s="2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2"/>
      <c r="AW40" s="2"/>
      <c r="AX40" s="2"/>
      <c r="AY40" s="2"/>
      <c r="AZ40" s="2"/>
      <c r="BA40" s="2"/>
      <c r="BB40" s="2" t="str">
        <v>毛利快速计算器</v>
      </c>
      <c r="BC40" s="2">
        <v>8000</v>
      </c>
      <c r="BD40" s="2">
        <v>800</v>
      </c>
      <c r="BE40" s="2">
        <v>2</v>
      </c>
      <c r="BF40" s="2">
        <v>3</v>
      </c>
      <c r="BG40" s="2">
        <v>1.5</v>
      </c>
      <c r="BH40" s="2">
        <v>2.4</v>
      </c>
      <c r="BI40" s="15">
        <f>((BC40*BE40+BD40*BF40)/1.06-(BC40*BG40+BD40*BH40))/((BC40*BE40+BD40*BF40)/1.06)</f>
      </c>
      <c r="BJ40" s="2"/>
      <c r="BK40" s="2"/>
      <c r="BL40" s="2"/>
      <c r="BM40" s="2"/>
      <c r="BN40" s="2"/>
      <c r="BO40" s="2"/>
      <c r="BP40" s="2"/>
      <c r="BQ40" s="2"/>
      <c r="BR40" s="2"/>
      <c r="BS40" s="2"/>
    </row>
    <row r="41">
      <c r="A41" s="1" t="str">
        <v>序列长度</v>
      </c>
      <c r="B41" s="1" t="str">
        <v>DP BatchSize</v>
      </c>
      <c r="C41" s="1" t="str">
        <v>Global BatchSize</v>
      </c>
      <c r="D41" s="1" t="str">
        <v>q_a_proj 计算耗时</v>
      </c>
      <c r="E41" s="1" t="str">
        <v>q_b_proj_计算耗时</v>
      </c>
      <c r="F41" s="1" t="str">
        <v>q_index_b_proj 计算耗时</v>
      </c>
      <c r="G41" s="1" t="str">
        <v>kv_index_proj 计算耗时</v>
      </c>
      <c r="H41" s="18" t="str">
        <v>index_weight_proj 计算耗时</v>
      </c>
      <c r="I41" s="1" t="str">
        <v>index 计算耗时</v>
      </c>
      <c r="J41" s="1" t="str">
        <v>kv_a_proj 计算耗时</v>
      </c>
      <c r="K41" s="1" t="str">
        <v>kv_b_proj 计算耗时
*bf16</v>
      </c>
      <c r="L41" s="1" t="str">
        <v>attn 计算耗时
*bf16 精度，所以多乘了一个1.8</v>
      </c>
      <c r="M41" s="1" t="str">
        <v>v_b_proj 计算耗时
*bf16</v>
      </c>
      <c r="N41" s="1" t="str">
        <v>o_proj 计算耗时</v>
      </c>
      <c r="O41" s="1" t="str">
        <v>element_wise&amp;topk
*包含 combine_q 等开销</v>
      </c>
      <c r="P41" s="17" t="str">
        <v>all_reduce</v>
      </c>
      <c r="Q41" s="17" t="str">
        <v>ffn0 计算耗时</v>
      </c>
      <c r="R41" s="1" t="str">
        <v>ffn1 计算耗时</v>
      </c>
      <c r="S41" s="1" t="str">
        <v>all_reduce
*包含ep不均损耗</v>
      </c>
      <c r="T41" s="1" t="str">
        <v>all_layer耗时(ms)</v>
      </c>
      <c r="U41" s="1" t="str">
        <v>TTFT</v>
      </c>
      <c r="V41" s="1" t="str">
        <v>预估serving损耗</v>
      </c>
      <c r="W41" s="1" t="str">
        <v>tps/card</v>
      </c>
      <c r="X41" s="1" t="str">
        <v>cost1成本(元/百万Token)</v>
      </c>
      <c r="Y41" s="1" t="str">
        <v>cost3成本(元/百万Token)</v>
      </c>
      <c r="Z41" s="1"/>
      <c r="AA41" s="1"/>
      <c r="AB41" s="2"/>
      <c r="AC41" s="2"/>
      <c r="AD41" s="2"/>
      <c r="AE41" s="2"/>
      <c r="AF41" s="2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2"/>
      <c r="AW41" s="2"/>
      <c r="AX41" s="2"/>
      <c r="AY41" s="2"/>
      <c r="AZ41" s="2"/>
      <c r="BA41" s="2"/>
      <c r="BB41" s="2"/>
      <c r="BC41" s="2">
        <v>8000</v>
      </c>
      <c r="BD41" s="2">
        <v>800</v>
      </c>
      <c r="BE41" s="2">
        <v>2</v>
      </c>
      <c r="BF41" s="2">
        <v>8</v>
      </c>
      <c r="BG41" s="2">
        <v>1.5</v>
      </c>
      <c r="BH41" s="2">
        <v>2.4</v>
      </c>
      <c r="BI41" s="15">
        <f>((BC41*BE41+BD41*BF41)/1.06-(BC41*BG41+BD41*BH41))/((BC41*BE41+BD41*BF41)/1.06)</f>
      </c>
      <c r="BJ41" s="2"/>
      <c r="BK41" s="2"/>
      <c r="BL41" s="2"/>
      <c r="BM41" s="2"/>
      <c r="BN41" s="2"/>
      <c r="BO41" s="2"/>
      <c r="BP41" s="2"/>
      <c r="BQ41" s="2"/>
      <c r="BR41" s="2"/>
      <c r="BS41" s="2"/>
    </row>
    <row r="42">
      <c r="A42" s="1">
        <v>1</v>
      </c>
      <c r="B42" s="1">
        <v>1024</v>
      </c>
      <c r="C42" s="1">
        <f>B42*$F$10</f>
      </c>
      <c r="D42" s="12">
        <f>_xlfn.LAMBDA(m,n,k, 2*m*n*k*1000*1000/$N$2/1024/1024/1024/1024/$I$9)(B42,$Q$10,$Q$2)</f>
      </c>
      <c r="E42" s="12">
        <f>_xlfn.LAMBDA(m,n,k, 2*m*n*k*1000*1000/$N$9/1024/1024/1024/1024/$I$9)(B42, $Q$3*(128+64)/$F$10, $Q$10)</f>
      </c>
      <c r="F42" s="13">
        <f>_xlfn.LAMBDA(m,n,k, 2*m*n*k*1000*1000/$N$9/1024/1024/1024/1024/$I$9)(B42,$Q$11*$Q$12,$Q$10)</f>
      </c>
      <c r="G42" s="11">
        <f>_xlfn.LAMBDA(m,n,k, 2*m*n*k*1000*1000/$N$9/1024/1024/1024/1024/$I$9)(B42,$Q$11,$Q$2)</f>
      </c>
      <c r="H42" s="11">
        <f>_xlfn.LAMBDA(m,n,k, 2*m*n*k*1000*1000/$N$14/1024/1024/1024/1024/$I$9)(B42,$Q$12,$Q$2)</f>
      </c>
      <c r="I42" s="11">
        <f>_xlfn.LAMBDA(seq_len, q_len, bs, 2*seq_len*seq_len/2*($Q$12*$Q$11/$N$12 + $Q$12/$N$14)*1000*1000/1024/1024/1024/1024/$K$13/(seq_len/B42))(A42,$C$3,B42)</f>
      </c>
      <c r="J42" s="11">
        <f>_xlfn.LAMBDA(m,n,k, 2*m*n*k*1000*1000/$N$9/1024/1024/1024/1024/$I$9)(B42,$Q$6,$Q$2)</f>
      </c>
      <c r="K42" s="11">
        <f>_xlfn.LAMBDA(b, m,n,k, 2*b*m*n*k*1000*1000/$N$14/1024/1024/1024/1024/$I$9)($Q$3, B42, 128, $Q$7)</f>
      </c>
      <c r="L42" s="11">
        <f>_xlfn.LAMBDA(seq_len, q_len, bs, (MAX(seq_len - 2048, 0) + seq_len) * 2048 / 2 * 1.8*2*$Q$3/$F$10*($Q$6 + $Q$7)*1000*1000/1000/1000/1000/1000/$N$12/$K$13/(A42/B42))(A42, A42,B42)</f>
      </c>
      <c r="M42" s="11">
        <f>_xlfn.LAMBDA(b, m,n,k, 2*b*m*n*k*1000*1000/$N$14/1024/1024/1024/1024/$I$9)($Q$3,B42, 128, $Q$7)</f>
      </c>
      <c r="N42" s="11">
        <f>_xlfn.LAMBDA(m,n,k, 2*m*n*k*1000*1000/$N$9/1024/1024/1024/1024/$I$9)(B42, $Q$3*128/$F$10, $Q$2)</f>
      </c>
      <c r="O42" s="11">
        <v>2000</v>
      </c>
      <c r="P42" s="11">
        <f>_xlfn.LAMBDA(tp_size, hidden_size, batch_size, 2*batch_size*(tp_size-1)/tp_size*hidden_size*1000*1000/$N$11/1024/1024/1024/$I$13)($F$10, $Q$2,B42)</f>
      </c>
      <c r="Q42" s="11">
        <f>_xlfn.LAMBDA(m,n,k, 2*m*n*k*1000*1000/$N$9/1024/1024/1024/1024/$I$10)(B42*$S$2/$F$12,$Q$8*2,$Q$2)</f>
      </c>
      <c r="R42" s="11">
        <f>_xlfn.LAMBDA(m,n,k, 2*m*n*k*1000*1000/$N$9/1024/1024/1024/1024/$I$10)(B42*$S$2/$F$12,$Q$2,$Q$8)</f>
      </c>
      <c r="S42" s="11">
        <v>0</v>
      </c>
      <c r="T42" s="11">
        <f>CEILING($Q$9/$F$11)*SUM(D42:S42)/1000</f>
      </c>
      <c r="U42" s="11">
        <f>CEILING(A42/B42)*T42+($F$11-1)*T42</f>
      </c>
      <c r="V42" s="11">
        <v>0.8</v>
      </c>
      <c r="W42" s="11">
        <f>B42/(T42/1000)*V42/$F$9/(1-$C$7)</f>
      </c>
      <c r="X42" s="11">
        <f>1000000*$N$15/24/60/60/W42</f>
      </c>
      <c r="Y42" s="11">
        <f>X42*$C$6</f>
      </c>
      <c r="Z42" s="11"/>
      <c r="AA42" s="11"/>
      <c r="AB42" s="2"/>
      <c r="AC42" s="2"/>
      <c r="AD42" s="2"/>
      <c r="AE42" s="2"/>
      <c r="AF42" s="2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>
      <c r="A43" s="1">
        <v>1024</v>
      </c>
      <c r="B43" s="1">
        <v>1024</v>
      </c>
      <c r="C43" s="1">
        <f>B43*$F$10</f>
      </c>
      <c r="D43" s="12">
        <f>_xlfn.LAMBDA(m,n,k, 2*m*n*k*1000*1000/$N$2/1024/1024/1024/1024/$I$9)(B43,$Q$10,$Q$2)</f>
      </c>
      <c r="E43" s="12">
        <f>_xlfn.LAMBDA(m,n,k, 2*m*n*k*1000*1000/$N$9/1024/1024/1024/1024/$I$9)(B43, $Q$3*(128+64)/$F$10, $Q$10)</f>
      </c>
      <c r="F43" s="13">
        <f>_xlfn.LAMBDA(m,n,k, 2*m*n*k*1000*1000/$N$9/1024/1024/1024/1024/$I$9)(B43,$Q$11*$Q$12,$Q$10)</f>
      </c>
      <c r="G43" s="11">
        <f>_xlfn.LAMBDA(m,n,k, 2*m*n*k*1000*1000/$N$9/1024/1024/1024/1024/$I$9)(B43,$Q$11,$Q$2)</f>
      </c>
      <c r="H43" s="11">
        <f>_xlfn.LAMBDA(m,n,k, 2*m*n*k*1000*1000/$N$14/1024/1024/1024/1024/$I$9)(B43,$Q$12,$Q$2)</f>
      </c>
      <c r="I43" s="11">
        <f>_xlfn.LAMBDA(seq_len, q_len, bs, 2*seq_len*seq_len/2*($Q$12*$Q$11/$N$12 + $Q$12/$N$14)*1000*1000/1024/1024/1024/1024/$K$13/(seq_len/B43))(A43,$C$3,B43)</f>
      </c>
      <c r="J43" s="11">
        <f>_xlfn.LAMBDA(m,n,k, 2*m*n*k*1000*1000/$N$9/1024/1024/1024/1024/$I$9)(B43,$Q$6,$Q$2)</f>
      </c>
      <c r="K43" s="11">
        <f>_xlfn.LAMBDA(b, m,n,k, 2*b*m*n*k*1000*1000/$N$14/1024/1024/1024/1024/$I$9)($Q$3, B43, 128, $Q$7)</f>
      </c>
      <c r="L43" s="11">
        <f>_xlfn.LAMBDA(seq_len, q_len, bs, (MAX(seq_len - 2048, 0) + seq_len) * 2048 / 2 * 1.8*2*$Q$3/$F$10*($Q$6 + $Q$7)*1000*1000/1000/1000/1000/1000/$N$12/$K$13/(A43/B43))(A43, A43,B43)</f>
      </c>
      <c r="M43" s="11">
        <f>_xlfn.LAMBDA(b, m,n,k, 2*b*m*n*k*1000*1000/$N$14/1024/1024/1024/1024/$I$9)($Q$3,B43, 128, $Q$7)</f>
      </c>
      <c r="N43" s="11">
        <f>_xlfn.LAMBDA(m,n,k, 2*m*n*k*1000*1000/$N$9/1024/1024/1024/1024/$I$9)(B43, $Q$3*128/$F$10, $Q$2)</f>
      </c>
      <c r="O43" s="11">
        <v>2000</v>
      </c>
      <c r="P43" s="11">
        <f>_xlfn.LAMBDA(tp_size, hidden_size, batch_size, 2*batch_size*(tp_size-1)/tp_size*hidden_size*1000*1000/$N$11/1024/1024/1024/$I$13)($F$10, $Q$2,B43)</f>
      </c>
      <c r="Q43" s="11">
        <f>_xlfn.LAMBDA(m,n,k, 2*m*n*k*1000*1000/$N$9/1024/1024/1024/1024/$I$10)(B43*$S$2/$F$12,$Q$8*2,$Q$2)</f>
      </c>
      <c r="R43" s="11">
        <f>_xlfn.LAMBDA(m,n,k, 2*m*n*k*1000*1000/$N$9/1024/1024/1024/1024/$I$10)(B43*$S$2/$F$12,$Q$2,$Q$8)</f>
      </c>
      <c r="S43" s="11">
        <v>0</v>
      </c>
      <c r="T43" s="11">
        <f>CEILING($Q$9/$F$11)*SUM(D43:S43)/1000</f>
      </c>
      <c r="U43" s="11">
        <f>CEILING(A43/B43)*T43+($F$11-1)*T43</f>
      </c>
      <c r="V43" s="11">
        <v>0.8</v>
      </c>
      <c r="W43" s="11">
        <f>B43/(T43/1000)*V43/$F$9/(1-$C$7)</f>
      </c>
      <c r="X43" s="11">
        <f>1000000*$N$15/24/60/60/W43</f>
      </c>
      <c r="Y43" s="11">
        <f>X43*$C$6</f>
      </c>
      <c r="Z43" s="11"/>
      <c r="AA43" s="11"/>
      <c r="AB43" s="2"/>
      <c r="AC43" s="2"/>
      <c r="AD43" s="2"/>
      <c r="AE43" s="2"/>
      <c r="AF43" s="2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</row>
    <row r="44">
      <c r="A44" s="1">
        <v>2048</v>
      </c>
      <c r="B44" s="1">
        <v>1024</v>
      </c>
      <c r="C44" s="1">
        <f>B44*$F$10</f>
      </c>
      <c r="D44" s="12">
        <f>_xlfn.LAMBDA(m,n,k, 2*m*n*k*1000*1000/$N$2/1024/1024/1024/1024/$I$9)(B44,$Q$10,$Q$2)</f>
      </c>
      <c r="E44" s="12">
        <f>_xlfn.LAMBDA(m,n,k, 2*m*n*k*1000*1000/$N$9/1024/1024/1024/1024/$I$9)(B44, $Q$3*(128+64)/$F$10, $Q$10)</f>
      </c>
      <c r="F44" s="13">
        <f>_xlfn.LAMBDA(m,n,k, 2*m*n*k*1000*1000/$N$9/1024/1024/1024/1024/$I$9)(B44,$Q$11*$Q$12,$Q$10)</f>
      </c>
      <c r="G44" s="11">
        <f>_xlfn.LAMBDA(m,n,k, 2*m*n*k*1000*1000/$N$9/1024/1024/1024/1024/$I$9)(B44,$Q$11,$Q$2)</f>
      </c>
      <c r="H44" s="11">
        <f>_xlfn.LAMBDA(m,n,k, 2*m*n*k*1000*1000/$N$14/1024/1024/1024/1024/$I$9)(B44,$Q$12,$Q$2)</f>
      </c>
      <c r="I44" s="11">
        <f>_xlfn.LAMBDA(seq_len, q_len, bs, 2*seq_len*seq_len/2*($Q$12*$Q$11/$N$12 + $Q$12/$N$14)*1000*1000/1024/1024/1024/1024/$K$13/(seq_len/B44))(A44,$C$3,B44)</f>
      </c>
      <c r="J44" s="11">
        <f>_xlfn.LAMBDA(m,n,k, 2*m*n*k*1000*1000/$N$9/1024/1024/1024/1024/$I$9)(B44,$Q$6,$Q$2)</f>
      </c>
      <c r="K44" s="11">
        <f>_xlfn.LAMBDA(b, m,n,k, 2*b*m*n*k*1000*1000/$N$14/1024/1024/1024/1024/$I$9)($Q$3, B44, 128, $Q$7)</f>
      </c>
      <c r="L44" s="11">
        <f>_xlfn.LAMBDA(seq_len, q_len, bs, (MAX(seq_len - 2048, 0) + seq_len) * 2048 / 2 * 1.8*2*$Q$3/$F$10*($Q$6 + $Q$7)*1000*1000/1000/1000/1000/1000/$N$12/$K$13/(A44/B44))(A44, A44,B44)</f>
      </c>
      <c r="M44" s="11">
        <f>_xlfn.LAMBDA(b, m,n,k, 2*b*m*n*k*1000*1000/$N$14/1024/1024/1024/1024/$I$9)($Q$3,B44, 128, $Q$7)</f>
      </c>
      <c r="N44" s="11">
        <f>_xlfn.LAMBDA(m,n,k, 2*m*n*k*1000*1000/$N$9/1024/1024/1024/1024/$I$9)(B44, $Q$3*128/$F$10, $Q$2)</f>
      </c>
      <c r="O44" s="11">
        <v>2000</v>
      </c>
      <c r="P44" s="11">
        <f>_xlfn.LAMBDA(tp_size, hidden_size, batch_size, 2*batch_size*(tp_size-1)/tp_size*hidden_size*1000*1000/$N$11/1024/1024/1024/$I$13)($F$10, $Q$2,B44)</f>
      </c>
      <c r="Q44" s="11">
        <f>_xlfn.LAMBDA(m,n,k, 2*m*n*k*1000*1000/$N$9/1024/1024/1024/1024/$I$10)(B44*$S$2/$F$12,$Q$8*2,$Q$2)</f>
      </c>
      <c r="R44" s="11">
        <f>_xlfn.LAMBDA(m,n,k, 2*m*n*k*1000*1000/$N$9/1024/1024/1024/1024/$I$10)(B44*$S$2/$F$12,$Q$2,$Q$8)</f>
      </c>
      <c r="S44" s="11">
        <v>0</v>
      </c>
      <c r="T44" s="11">
        <f>CEILING($Q$9/$F$11)*SUM(D44:S44)/1000</f>
      </c>
      <c r="U44" s="11">
        <f>CEILING(A44/B44)*T44+($F$11-1)*T44</f>
      </c>
      <c r="V44" s="11">
        <v>0.8</v>
      </c>
      <c r="W44" s="11">
        <f>B44/(T44/1000)*V44/$F$9/(1-$C$7)</f>
      </c>
      <c r="X44" s="11">
        <f>1000000*$N$15/24/60/60/W44</f>
      </c>
      <c r="Y44" s="11">
        <f>X44*$C$6</f>
      </c>
      <c r="Z44" s="11"/>
      <c r="AA44" s="11"/>
      <c r="AB44" s="2"/>
      <c r="AC44" s="2"/>
      <c r="AD44" s="2"/>
      <c r="AE44" s="2"/>
      <c r="AF44" s="2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>
      <c r="A45" s="1">
        <v>3072</v>
      </c>
      <c r="B45" s="1">
        <v>1024</v>
      </c>
      <c r="C45" s="1">
        <f>B45*$F$10</f>
      </c>
      <c r="D45" s="12">
        <f>_xlfn.LAMBDA(m,n,k, 2*m*n*k*1000*1000/$N$2/1024/1024/1024/1024/$I$9)(B45,$Q$10,$Q$2)</f>
      </c>
      <c r="E45" s="12">
        <f>_xlfn.LAMBDA(m,n,k, 2*m*n*k*1000*1000/$N$9/1024/1024/1024/1024/$I$9)(B45, $Q$3*(128+64)/$F$10, $Q$10)</f>
      </c>
      <c r="F45" s="13">
        <f>_xlfn.LAMBDA(m,n,k, 2*m*n*k*1000*1000/$N$9/1024/1024/1024/1024/$I$9)(B45,$Q$11*$Q$12,$Q$10)</f>
      </c>
      <c r="G45" s="11">
        <f>_xlfn.LAMBDA(m,n,k, 2*m*n*k*1000*1000/$N$9/1024/1024/1024/1024/$I$9)(B45,$Q$11,$Q$2)</f>
      </c>
      <c r="H45" s="11">
        <f>_xlfn.LAMBDA(m,n,k, 2*m*n*k*1000*1000/$N$14/1024/1024/1024/1024/$I$9)(B45,$Q$12,$Q$2)</f>
      </c>
      <c r="I45" s="11">
        <f>_xlfn.LAMBDA(seq_len, q_len, bs, 2*seq_len*seq_len/2*($Q$12*$Q$11/$N$12 + $Q$12/$N$14)*1000*1000/1024/1024/1024/1024/$K$13/(seq_len/B45))(A45,$C$3,B45)</f>
      </c>
      <c r="J45" s="11">
        <f>_xlfn.LAMBDA(m,n,k, 2*m*n*k*1000*1000/$N$9/1024/1024/1024/1024/$I$9)(B45,$Q$6,$Q$2)</f>
      </c>
      <c r="K45" s="11">
        <f>_xlfn.LAMBDA(b, m,n,k, 2*b*m*n*k*1000*1000/$N$14/1024/1024/1024/1024/$I$9)($Q$3, B45, 128, $Q$7)</f>
      </c>
      <c r="L45" s="11">
        <f>_xlfn.LAMBDA(seq_len, q_len, bs, (MAX(seq_len - 2048, 0) + seq_len) * 2048 / 2 * 1.8*2*$Q$3/$F$10*($Q$6 + $Q$7)*1000*1000/1000/1000/1000/1000/$N$12/$K$13/(A45/B45))(A45, A45,B45)</f>
      </c>
      <c r="M45" s="11">
        <f>_xlfn.LAMBDA(b, m,n,k, 2*b*m*n*k*1000*1000/$N$14/1024/1024/1024/1024/$I$9)($Q$3,B45, 128, $Q$7)</f>
      </c>
      <c r="N45" s="11">
        <f>_xlfn.LAMBDA(m,n,k, 2*m*n*k*1000*1000/$N$9/1024/1024/1024/1024/$I$9)(B45, $Q$3*128/$F$10, $Q$2)</f>
      </c>
      <c r="O45" s="11">
        <v>2000</v>
      </c>
      <c r="P45" s="11">
        <f>_xlfn.LAMBDA(tp_size, hidden_size, batch_size, 2*batch_size*(tp_size-1)/tp_size*hidden_size*1000*1000/$N$11/1024/1024/1024/$I$13)($F$10, $Q$2,B45)</f>
      </c>
      <c r="Q45" s="11">
        <f>_xlfn.LAMBDA(m,n,k, 2*m*n*k*1000*1000/$N$9/1024/1024/1024/1024/$I$10)(B45*$S$2/$F$12,$Q$8*2,$Q$2)</f>
      </c>
      <c r="R45" s="11">
        <f>_xlfn.LAMBDA(m,n,k, 2*m*n*k*1000*1000/$N$9/1024/1024/1024/1024/$I$10)(B45*$S$2/$F$12,$Q$2,$Q$8)</f>
      </c>
      <c r="S45" s="11">
        <v>0</v>
      </c>
      <c r="T45" s="11">
        <f>CEILING($Q$9/$F$11)*SUM(D45:S45)/1000</f>
      </c>
      <c r="U45" s="11">
        <f>CEILING(A45/B45)*T45+($F$11-1)*T45</f>
      </c>
      <c r="V45" s="11">
        <v>0.8</v>
      </c>
      <c r="W45" s="11">
        <f>B45/(T45/1000)*V45/$F$9/(1-$C$7)</f>
      </c>
      <c r="X45" s="11">
        <f>1000000*$N$15/24/60/60/W45</f>
      </c>
      <c r="Y45" s="11">
        <f>X45*$C$6</f>
      </c>
      <c r="Z45" s="11"/>
      <c r="AA45" s="11"/>
      <c r="AB45" s="2"/>
      <c r="AC45" s="2"/>
      <c r="AD45" s="2"/>
      <c r="AE45" s="2"/>
      <c r="AF45" s="2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</row>
    <row r="46">
      <c r="A46" s="1">
        <v>4096</v>
      </c>
      <c r="B46" s="1">
        <v>1024</v>
      </c>
      <c r="C46" s="1">
        <f>B46*$F$10</f>
      </c>
      <c r="D46" s="12">
        <f>_xlfn.LAMBDA(m,n,k, 2*m*n*k*1000*1000/$N$2/1024/1024/1024/1024/$I$9)(B46,$Q$10,$Q$2)</f>
      </c>
      <c r="E46" s="12">
        <f>_xlfn.LAMBDA(m,n,k, 2*m*n*k*1000*1000/$N$9/1024/1024/1024/1024/$I$9)(B46, $Q$3*(128+64)/$F$10, $Q$10)</f>
      </c>
      <c r="F46" s="13">
        <f>_xlfn.LAMBDA(m,n,k, 2*m*n*k*1000*1000/$N$9/1024/1024/1024/1024/$I$9)(B46,$Q$11*$Q$12,$Q$10)</f>
      </c>
      <c r="G46" s="11">
        <f>_xlfn.LAMBDA(m,n,k, 2*m*n*k*1000*1000/$N$9/1024/1024/1024/1024/$I$9)(B46,$Q$11,$Q$2)</f>
      </c>
      <c r="H46" s="11">
        <f>_xlfn.LAMBDA(m,n,k, 2*m*n*k*1000*1000/$N$14/1024/1024/1024/1024/$I$9)(B46,$Q$12,$Q$2)</f>
      </c>
      <c r="I46" s="11">
        <f>_xlfn.LAMBDA(seq_len, q_len, bs, 2*seq_len*seq_len/2*($Q$12*$Q$11/$N$12 + $Q$12/$N$14)*1000*1000/1024/1024/1024/1024/$K$13/(seq_len/B46))(A46,$C$3,B46)</f>
      </c>
      <c r="J46" s="11">
        <f>_xlfn.LAMBDA(m,n,k, 2*m*n*k*1000*1000/$N$9/1024/1024/1024/1024/$I$9)(B46,$Q$6,$Q$2)</f>
      </c>
      <c r="K46" s="11">
        <f>_xlfn.LAMBDA(b, m,n,k, 2*b*m*n*k*1000*1000/$N$14/1024/1024/1024/1024/$I$9)($Q$3, B46, 128, $Q$7)</f>
      </c>
      <c r="L46" s="11">
        <f>_xlfn.LAMBDA(seq_len, q_len, bs, (MAX(seq_len - 2048, 0) + seq_len) * 2048 / 2 * 1.8*2*$Q$3/$F$10*($Q$6 + $Q$7)*1000*1000/1000/1000/1000/1000/$N$12/$K$13/(A46/B46))(A46, A46,B46)</f>
      </c>
      <c r="M46" s="11">
        <f>_xlfn.LAMBDA(b, m,n,k, 2*b*m*n*k*1000*1000/$N$14/1024/1024/1024/1024/$I$9)($Q$3,B46, 128, $Q$7)</f>
      </c>
      <c r="N46" s="11">
        <f>_xlfn.LAMBDA(m,n,k, 2*m*n*k*1000*1000/$N$9/1024/1024/1024/1024/$I$9)(B46, $Q$3*128/$F$10, $Q$2)</f>
      </c>
      <c r="O46" s="11">
        <v>2000</v>
      </c>
      <c r="P46" s="11">
        <f>_xlfn.LAMBDA(tp_size, hidden_size, batch_size, 2*batch_size*(tp_size-1)/tp_size*hidden_size*1000*1000/$N$11/1024/1024/1024/$I$13)($F$10, $Q$2,B46)</f>
      </c>
      <c r="Q46" s="11">
        <f>_xlfn.LAMBDA(m,n,k, 2*m*n*k*1000*1000/$N$9/1024/1024/1024/1024/$I$10)(B46*$S$2/$F$12,$Q$8*2,$Q$2)</f>
      </c>
      <c r="R46" s="11">
        <f>_xlfn.LAMBDA(m,n,k, 2*m*n*k*1000*1000/$N$9/1024/1024/1024/1024/$I$10)(B46*$S$2/$F$12,$Q$2,$Q$8)</f>
      </c>
      <c r="S46" s="11">
        <v>0</v>
      </c>
      <c r="T46" s="11">
        <f>CEILING($Q$9/$F$11)*SUM(D46:S46)/1000</f>
      </c>
      <c r="U46" s="11">
        <f>CEILING(A46/B46)*T46+($F$11-1)*T46</f>
      </c>
      <c r="V46" s="11">
        <v>0.8</v>
      </c>
      <c r="W46" s="11">
        <f>B46/(T46/1000)*V46/$F$9/(1-$C$7)</f>
      </c>
      <c r="X46" s="11">
        <f>1000000*$N$15/24/60/60/W46</f>
      </c>
      <c r="Y46" s="11">
        <f>X46*$C$6</f>
      </c>
      <c r="Z46" s="11"/>
      <c r="AA46" s="11"/>
      <c r="AB46" s="2"/>
      <c r="AC46" s="2"/>
      <c r="AD46" s="2"/>
      <c r="AE46" s="2"/>
      <c r="AF46" s="2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</row>
    <row r="47">
      <c r="A47" s="1">
        <v>8192</v>
      </c>
      <c r="B47" s="1">
        <v>1024</v>
      </c>
      <c r="C47" s="1">
        <f>B47*$F$10</f>
      </c>
      <c r="D47" s="12">
        <f>_xlfn.LAMBDA(m,n,k, 2*m*n*k*1000*1000/$N$2/1024/1024/1024/1024/$I$9)(B47,$Q$10,$Q$2)</f>
      </c>
      <c r="E47" s="12">
        <f>_xlfn.LAMBDA(m,n,k, 2*m*n*k*1000*1000/$N$9/1024/1024/1024/1024/$I$9)(B47, $Q$3*(128+64)/$F$10, $Q$10)</f>
      </c>
      <c r="F47" s="13">
        <f>_xlfn.LAMBDA(m,n,k, 2*m*n*k*1000*1000/$N$9/1024/1024/1024/1024/$I$9)(B47,$Q$11*$Q$12,$Q$10)</f>
      </c>
      <c r="G47" s="11">
        <f>_xlfn.LAMBDA(m,n,k, 2*m*n*k*1000*1000/$N$9/1024/1024/1024/1024/$I$9)(B47,$Q$11,$Q$2)</f>
      </c>
      <c r="H47" s="11">
        <f>_xlfn.LAMBDA(m,n,k, 2*m*n*k*1000*1000/$N$14/1024/1024/1024/1024/$I$9)(B47,$Q$12,$Q$2)</f>
      </c>
      <c r="I47" s="11">
        <f>_xlfn.LAMBDA(seq_len, q_len, bs, 2*seq_len*seq_len/2*($Q$12*$Q$11/$N$12 + $Q$12/$N$14)*1000*1000/1024/1024/1024/1024/$K$13/(seq_len/B47))(A47,$C$3,B47)</f>
      </c>
      <c r="J47" s="11">
        <f>_xlfn.LAMBDA(m,n,k, 2*m*n*k*1000*1000/$N$9/1024/1024/1024/1024/$I$9)(B47,$Q$6,$Q$2)</f>
      </c>
      <c r="K47" s="11">
        <f>_xlfn.LAMBDA(b, m,n,k, 2*b*m*n*k*1000*1000/$N$14/1024/1024/1024/1024/$I$9)($Q$3, B47, 128, $Q$7)</f>
      </c>
      <c r="L47" s="11">
        <f>_xlfn.LAMBDA(seq_len, q_len, bs, (MAX(seq_len - 2048, 0) + seq_len) * 2048 / 2 * 1.8*2*$Q$3/$F$10*($Q$6 + $Q$7)*1000*1000/1000/1000/1000/1000/$N$12/$K$13/(A47/B47))(A47, A47,B47)</f>
      </c>
      <c r="M47" s="11">
        <f>_xlfn.LAMBDA(b, m,n,k, 2*b*m*n*k*1000*1000/$N$14/1024/1024/1024/1024/$I$9)($Q$3,B47, 128, $Q$7)</f>
      </c>
      <c r="N47" s="11">
        <f>_xlfn.LAMBDA(m,n,k, 2*m*n*k*1000*1000/$N$9/1024/1024/1024/1024/$I$9)(B47, $Q$3*128/$F$10, $Q$2)</f>
      </c>
      <c r="O47" s="11">
        <v>2000</v>
      </c>
      <c r="P47" s="11">
        <f>_xlfn.LAMBDA(tp_size, hidden_size, batch_size, 2*batch_size*(tp_size-1)/tp_size*hidden_size*1000*1000/$N$11/1024/1024/1024/$I$13)($F$10, $Q$2,B47)</f>
      </c>
      <c r="Q47" s="11">
        <f>_xlfn.LAMBDA(m,n,k, 2*m*n*k*1000*1000/$N$9/1024/1024/1024/1024/$I$10)(B47*$S$2/$F$12,$Q$8*2,$Q$2)</f>
      </c>
      <c r="R47" s="11">
        <f>_xlfn.LAMBDA(m,n,k, 2*m*n*k*1000*1000/$N$9/1024/1024/1024/1024/$I$10)(B47*$S$2/$F$12,$Q$2,$Q$8)</f>
      </c>
      <c r="S47" s="11">
        <v>0</v>
      </c>
      <c r="T47" s="11">
        <f>CEILING($Q$9/$F$11)*SUM(D47:S47)/1000</f>
      </c>
      <c r="U47" s="11">
        <f>CEILING(A47/B47)*T47+($F$11-1)*T47</f>
      </c>
      <c r="V47" s="11">
        <v>0.8</v>
      </c>
      <c r="W47" s="11">
        <f>B47/(T47/1000)*V47/$F$9/(1-$C$7)</f>
      </c>
      <c r="X47" s="11">
        <f>1000000*$N$15/24/60/60/W47</f>
      </c>
      <c r="Y47" s="11">
        <f>X47*$C$6</f>
      </c>
      <c r="Z47" s="11"/>
      <c r="AA47" s="11"/>
      <c r="AB47" s="2"/>
      <c r="AC47" s="2"/>
      <c r="AD47" s="2"/>
      <c r="AE47" s="2"/>
      <c r="AF47" s="2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</row>
    <row r="48">
      <c r="A48" s="1">
        <v>10240</v>
      </c>
      <c r="B48" s="1">
        <v>1024</v>
      </c>
      <c r="C48" s="1">
        <f>B48*$F$10</f>
      </c>
      <c r="D48" s="12">
        <f>_xlfn.LAMBDA(m,n,k, 2*m*n*k*1000*1000/$N$2/1024/1024/1024/1024/$I$9)(B48,$Q$10,$Q$2)</f>
      </c>
      <c r="E48" s="12">
        <f>_xlfn.LAMBDA(m,n,k, 2*m*n*k*1000*1000/$N$9/1024/1024/1024/1024/$I$9)(B48, $Q$3*(128+64)/$F$10, $Q$10)</f>
      </c>
      <c r="F48" s="13">
        <f>_xlfn.LAMBDA(m,n,k, 2*m*n*k*1000*1000/$N$9/1024/1024/1024/1024/$I$9)(B48,$Q$11*$Q$12,$Q$10)</f>
      </c>
      <c r="G48" s="11">
        <f>_xlfn.LAMBDA(m,n,k, 2*m*n*k*1000*1000/$N$9/1024/1024/1024/1024/$I$9)(B48,$Q$11,$Q$2)</f>
      </c>
      <c r="H48" s="11">
        <f>_xlfn.LAMBDA(m,n,k, 2*m*n*k*1000*1000/$N$14/1024/1024/1024/1024/$I$9)(B48,$Q$12,$Q$2)</f>
      </c>
      <c r="I48" s="11">
        <f>_xlfn.LAMBDA(seq_len, q_len, bs, 2*seq_len*seq_len/2*($Q$12*$Q$11/$N$12 + $Q$12/$N$14)*1000*1000/1024/1024/1024/1024/$K$13/(seq_len/B48))(A48,$C$3,B48)</f>
      </c>
      <c r="J48" s="11">
        <f>_xlfn.LAMBDA(m,n,k, 2*m*n*k*1000*1000/$N$9/1024/1024/1024/1024/$I$9)(B48,$Q$6,$Q$2)</f>
      </c>
      <c r="K48" s="11">
        <f>_xlfn.LAMBDA(b, m,n,k, 2*b*m*n*k*1000*1000/$N$14/1024/1024/1024/1024/$I$9)($Q$3, B48, 128, $Q$7)</f>
      </c>
      <c r="L48" s="11">
        <f>_xlfn.LAMBDA(seq_len, q_len, bs, (MAX(seq_len - 2048, 0) + seq_len) * 2048 / 2 * 1.8*2*$Q$3/$F$10*($Q$6 + $Q$7)*1000*1000/1000/1000/1000/1000/$N$12/$K$13/(A48/B48))(A48, A48,B48)</f>
      </c>
      <c r="M48" s="11">
        <f>_xlfn.LAMBDA(b, m,n,k, 2*b*m*n*k*1000*1000/$N$14/1024/1024/1024/1024/$I$9)($Q$3,B48, 128, $Q$7)</f>
      </c>
      <c r="N48" s="11">
        <f>_xlfn.LAMBDA(m,n,k, 2*m*n*k*1000*1000/$N$9/1024/1024/1024/1024/$I$9)(B48, $Q$3*128/$F$10, $Q$2)</f>
      </c>
      <c r="O48" s="11">
        <v>2000</v>
      </c>
      <c r="P48" s="11">
        <f>_xlfn.LAMBDA(tp_size, hidden_size, batch_size, 2*batch_size*(tp_size-1)/tp_size*hidden_size*1000*1000/$N$11/1024/1024/1024/$I$13)($F$10, $Q$2,B48)</f>
      </c>
      <c r="Q48" s="11">
        <f>_xlfn.LAMBDA(m,n,k, 2*m*n*k*1000*1000/$N$9/1024/1024/1024/1024/$I$10)(B48*$S$2/$F$12,$Q$8*2,$Q$2)</f>
      </c>
      <c r="R48" s="11">
        <f>_xlfn.LAMBDA(m,n,k, 2*m*n*k*1000*1000/$N$9/1024/1024/1024/1024/$I$10)(B48*$S$2/$F$12,$Q$2,$Q$8)</f>
      </c>
      <c r="S48" s="11">
        <v>0</v>
      </c>
      <c r="T48" s="11">
        <f>CEILING($Q$9/$F$11)*SUM(D48:S48)/1000</f>
      </c>
      <c r="U48" s="11">
        <f>CEILING(A48/B48)*T48+($F$11-1)*T48</f>
      </c>
      <c r="V48" s="11">
        <v>0.8</v>
      </c>
      <c r="W48" s="11">
        <f>B48/(T48/1000)*V48/$F$9/(1-$C$7)</f>
      </c>
      <c r="X48" s="11">
        <f>1000000*$N$15/24/60/60/W48</f>
      </c>
      <c r="Y48" s="11">
        <f>X48*$C$6</f>
      </c>
      <c r="Z48" s="11"/>
      <c r="AA48" s="11"/>
      <c r="AB48" s="2"/>
      <c r="AC48" s="2"/>
      <c r="AD48" s="2"/>
      <c r="AE48" s="2"/>
      <c r="AF48" s="2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</row>
    <row r="49">
      <c r="A49" s="1">
        <v>16384</v>
      </c>
      <c r="B49" s="1">
        <v>1024</v>
      </c>
      <c r="C49" s="1">
        <f>B49*$F$10</f>
      </c>
      <c r="D49" s="12">
        <f>_xlfn.LAMBDA(m,n,k, 2*m*n*k*1000*1000/$N$2/1024/1024/1024/1024/$I$9)(B49,$Q$10,$Q$2)</f>
      </c>
      <c r="E49" s="12">
        <f>_xlfn.LAMBDA(m,n,k, 2*m*n*k*1000*1000/$N$9/1024/1024/1024/1024/$I$9)(B49, $Q$3*(128+64)/$F$10, $Q$10)</f>
      </c>
      <c r="F49" s="13">
        <f>_xlfn.LAMBDA(m,n,k, 2*m*n*k*1000*1000/$N$9/1024/1024/1024/1024/$I$9)(B49,$Q$11*$Q$12,$Q$10)</f>
      </c>
      <c r="G49" s="11">
        <f>_xlfn.LAMBDA(m,n,k, 2*m*n*k*1000*1000/$N$9/1024/1024/1024/1024/$I$9)(B49,$Q$11,$Q$2)</f>
      </c>
      <c r="H49" s="11">
        <f>_xlfn.LAMBDA(m,n,k, 2*m*n*k*1000*1000/$N$14/1024/1024/1024/1024/$I$9)(B49,$Q$12,$Q$2)</f>
      </c>
      <c r="I49" s="11">
        <f>_xlfn.LAMBDA(seq_len, q_len, bs, 2*seq_len*seq_len/2*($Q$12*$Q$11/$N$12 + $Q$12/$N$14)*1000*1000/1024/1024/1024/1024/$K$13/(seq_len/B49))(A49,$C$3,B49)</f>
      </c>
      <c r="J49" s="11">
        <f>_xlfn.LAMBDA(m,n,k, 2*m*n*k*1000*1000/$N$9/1024/1024/1024/1024/$I$9)(B49,$Q$6,$Q$2)</f>
      </c>
      <c r="K49" s="11">
        <f>_xlfn.LAMBDA(b, m,n,k, 2*b*m*n*k*1000*1000/$N$14/1024/1024/1024/1024/$I$9)($Q$3, B49, 128, $Q$7)</f>
      </c>
      <c r="L49" s="11">
        <f>_xlfn.LAMBDA(seq_len, q_len, bs, (MAX(seq_len - 2048, 0) + seq_len) * 2048 / 2 * 1.8*2*$Q$3/$F$10*($Q$6 + $Q$7)*1000*1000/1000/1000/1000/1000/$N$12/$K$13/(A49/B49))(A49, A49,B49)</f>
      </c>
      <c r="M49" s="11">
        <f>_xlfn.LAMBDA(b, m,n,k, 2*b*m*n*k*1000*1000/$N$14/1024/1024/1024/1024/$I$9)($Q$3,B49, 128, $Q$7)</f>
      </c>
      <c r="N49" s="11">
        <f>_xlfn.LAMBDA(m,n,k, 2*m*n*k*1000*1000/$N$9/1024/1024/1024/1024/$I$9)(B49, $Q$3*128/$F$10, $Q$2)</f>
      </c>
      <c r="O49" s="11">
        <v>2000</v>
      </c>
      <c r="P49" s="11">
        <f>_xlfn.LAMBDA(tp_size, hidden_size, batch_size, 2*batch_size*(tp_size-1)/tp_size*hidden_size*1000*1000/$N$11/1024/1024/1024/$I$13)($F$10, $Q$2,B49)</f>
      </c>
      <c r="Q49" s="11">
        <f>_xlfn.LAMBDA(m,n,k, 2*m*n*k*1000*1000/$N$9/1024/1024/1024/1024/$I$10)(B49*$S$2/$F$12,$Q$8*2,$Q$2)</f>
      </c>
      <c r="R49" s="11">
        <f>_xlfn.LAMBDA(m,n,k, 2*m*n*k*1000*1000/$N$9/1024/1024/1024/1024/$I$10)(B49*$S$2/$F$12,$Q$2,$Q$8)</f>
      </c>
      <c r="S49" s="11">
        <v>0</v>
      </c>
      <c r="T49" s="11">
        <f>CEILING($Q$9/$F$11)*SUM(D49:S49)/1000</f>
      </c>
      <c r="U49" s="11">
        <f>CEILING(A49/B49)*T49+($F$11-1)*T49</f>
      </c>
      <c r="V49" s="11">
        <v>0.8</v>
      </c>
      <c r="W49" s="11">
        <f>B49/(T49/1000)*V49/$F$9/(1-$C$7)</f>
      </c>
      <c r="X49" s="11">
        <f>1000000*$N$15/24/60/60/W49</f>
      </c>
      <c r="Y49" s="11">
        <f>X49*$C$6</f>
      </c>
      <c r="Z49" s="11"/>
      <c r="AA49" s="11"/>
      <c r="AB49" s="2"/>
      <c r="AC49" s="2"/>
      <c r="AD49" s="2"/>
      <c r="AE49" s="2"/>
      <c r="AF49" s="2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</row>
    <row r="50">
      <c r="A50" s="1">
        <f>20*1024</f>
      </c>
      <c r="B50" s="1">
        <v>1024</v>
      </c>
      <c r="C50" s="1">
        <f>B50*$F$10</f>
      </c>
      <c r="D50" s="12">
        <f>_xlfn.LAMBDA(m,n,k, 2*m*n*k*1000*1000/$N$2/1024/1024/1024/1024/$I$9)(B50,$Q$10,$Q$2)</f>
      </c>
      <c r="E50" s="12">
        <f>_xlfn.LAMBDA(m,n,k, 2*m*n*k*1000*1000/$N$9/1024/1024/1024/1024/$I$9)(B50, $Q$3*(128+64)/$F$10, $Q$10)</f>
      </c>
      <c r="F50" s="13">
        <f>_xlfn.LAMBDA(m,n,k, 2*m*n*k*1000*1000/$N$9/1024/1024/1024/1024/$I$9)(B50,$Q$11*$Q$12,$Q$10)</f>
      </c>
      <c r="G50" s="11">
        <f>_xlfn.LAMBDA(m,n,k, 2*m*n*k*1000*1000/$N$9/1024/1024/1024/1024/$I$9)(B50,$Q$11,$Q$2)</f>
      </c>
      <c r="H50" s="11">
        <f>_xlfn.LAMBDA(m,n,k, 2*m*n*k*1000*1000/$N$14/1024/1024/1024/1024/$I$9)(B50,$Q$12,$Q$2)</f>
      </c>
      <c r="I50" s="11">
        <f>_xlfn.LAMBDA(seq_len, q_len, bs, 2*seq_len*seq_len/2*($Q$12*$Q$11/$N$12 + $Q$12/$N$14)*1000*1000/1024/1024/1024/1024/$K$13/(seq_len/B50))(A50,$C$3,B50)</f>
      </c>
      <c r="J50" s="11">
        <f>_xlfn.LAMBDA(m,n,k, 2*m*n*k*1000*1000/$N$9/1024/1024/1024/1024/$I$9)(B50,$Q$6,$Q$2)</f>
      </c>
      <c r="K50" s="11">
        <f>_xlfn.LAMBDA(b, m,n,k, 2*b*m*n*k*1000*1000/$N$14/1024/1024/1024/1024/$I$9)($Q$3, B50, 128, $Q$7)</f>
      </c>
      <c r="L50" s="11">
        <f>_xlfn.LAMBDA(seq_len, q_len, bs, (MAX(seq_len - 2048, 0) + seq_len) * 2048 / 2 * 1.8*2*$Q$3/$F$10*($Q$6 + $Q$7)*1000*1000/1000/1000/1000/1000/$N$12/$K$13/(A50/B50))(A50, A50,B50)</f>
      </c>
      <c r="M50" s="11">
        <f>_xlfn.LAMBDA(b, m,n,k, 2*b*m*n*k*1000*1000/$N$14/1024/1024/1024/1024/$I$9)($Q$3,B50, 128, $Q$7)</f>
      </c>
      <c r="N50" s="11">
        <f>_xlfn.LAMBDA(m,n,k, 2*m*n*k*1000*1000/$N$9/1024/1024/1024/1024/$I$9)(B50, $Q$3*128/$F$10, $Q$2)</f>
      </c>
      <c r="O50" s="11">
        <v>2000</v>
      </c>
      <c r="P50" s="11">
        <f>_xlfn.LAMBDA(tp_size, hidden_size, batch_size, 2*batch_size*(tp_size-1)/tp_size*hidden_size*1000*1000/$N$11/1024/1024/1024/$I$13)($F$10, $Q$2,B50)</f>
      </c>
      <c r="Q50" s="11">
        <f>_xlfn.LAMBDA(m,n,k, 2*m*n*k*1000*1000/$N$9/1024/1024/1024/1024/$I$10)(B50*$S$2/$F$12,$Q$8*2,$Q$2)</f>
      </c>
      <c r="R50" s="11">
        <f>_xlfn.LAMBDA(m,n,k, 2*m*n*k*1000*1000/$N$9/1024/1024/1024/1024/$I$10)(B50*$S$2/$F$12,$Q$2,$Q$8)</f>
      </c>
      <c r="S50" s="11">
        <v>0</v>
      </c>
      <c r="T50" s="11">
        <f>CEILING($Q$9/$F$11)*SUM(D50:S50)/1000</f>
      </c>
      <c r="U50" s="11">
        <f>CEILING(A50/B50)*T50+($F$11-1)*T50</f>
      </c>
      <c r="V50" s="11">
        <v>0.8</v>
      </c>
      <c r="W50" s="11">
        <f>B50/(T50/1000)*V50/$F$9/(1-$C$7)</f>
      </c>
      <c r="X50" s="11">
        <f>1000000*$N$15/24/60/60/W50</f>
      </c>
      <c r="Y50" s="11">
        <f>X50*$C$6</f>
      </c>
      <c r="Z50" s="11"/>
      <c r="AA50" s="11"/>
      <c r="AB50" s="2"/>
      <c r="AC50" s="2"/>
      <c r="AD50" s="2"/>
      <c r="AE50" s="2"/>
      <c r="AF50" s="2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</row>
    <row r="51">
      <c r="A51" s="1">
        <f>32*1024</f>
      </c>
      <c r="B51" s="1">
        <v>1024</v>
      </c>
      <c r="C51" s="1">
        <f>B51*$F$10</f>
      </c>
      <c r="D51" s="12">
        <f>_xlfn.LAMBDA(m,n,k, 2*m*n*k*1000*1000/$N$2/1024/1024/1024/1024/$I$9)(B51,$Q$10,$Q$2)</f>
      </c>
      <c r="E51" s="12">
        <f>_xlfn.LAMBDA(m,n,k, 2*m*n*k*1000*1000/$N$9/1024/1024/1024/1024/$I$9)(B51, $Q$3*(128+64)/$F$10, $Q$10)</f>
      </c>
      <c r="F51" s="13">
        <f>_xlfn.LAMBDA(m,n,k, 2*m*n*k*1000*1000/$N$9/1024/1024/1024/1024/$I$9)(B51,$Q$11*$Q$12,$Q$10)</f>
      </c>
      <c r="G51" s="11">
        <f>_xlfn.LAMBDA(m,n,k, 2*m*n*k*1000*1000/$N$9/1024/1024/1024/1024/$I$9)(B51,$Q$11,$Q$2)</f>
      </c>
      <c r="H51" s="11">
        <f>_xlfn.LAMBDA(m,n,k, 2*m*n*k*1000*1000/$N$14/1024/1024/1024/1024/$I$9)(B51,$Q$12,$Q$2)</f>
      </c>
      <c r="I51" s="11">
        <f>_xlfn.LAMBDA(seq_len, q_len, bs, 2*seq_len*seq_len/2*($Q$12*$Q$11/$N$12 + $Q$12/$N$14)*1000*1000/1024/1024/1024/1024/$K$13/(seq_len/B51))(A51,$C$3,B51)</f>
      </c>
      <c r="J51" s="11">
        <f>_xlfn.LAMBDA(m,n,k, 2*m*n*k*1000*1000/$N$9/1024/1024/1024/1024/$I$9)(B51,$Q$6,$Q$2)</f>
      </c>
      <c r="K51" s="11">
        <f>_xlfn.LAMBDA(b, m,n,k, 2*b*m*n*k*1000*1000/$N$14/1024/1024/1024/1024/$I$9)($Q$3, B51, 128, $Q$7)</f>
      </c>
      <c r="L51" s="11">
        <f>_xlfn.LAMBDA(seq_len, q_len, bs, (MAX(seq_len - 2048, 0) + seq_len) * 2048 / 2 * 1.8*2*$Q$3/$F$10*($Q$6 + $Q$7)*1000*1000/1000/1000/1000/1000/$N$12/$K$13/(A51/B51))(A51, A51,B51)</f>
      </c>
      <c r="M51" s="11">
        <f>_xlfn.LAMBDA(b, m,n,k, 2*b*m*n*k*1000*1000/$N$14/1024/1024/1024/1024/$I$9)($Q$3,B51, 128, $Q$7)</f>
      </c>
      <c r="N51" s="11">
        <f>_xlfn.LAMBDA(m,n,k, 2*m*n*k*1000*1000/$N$9/1024/1024/1024/1024/$I$9)(B51, $Q$3*128/$F$10, $Q$2)</f>
      </c>
      <c r="O51" s="11">
        <v>2000</v>
      </c>
      <c r="P51" s="11">
        <f>_xlfn.LAMBDA(tp_size, hidden_size, batch_size, 2*batch_size*(tp_size-1)/tp_size*hidden_size*1000*1000/$N$11/1024/1024/1024/$I$13)($F$10, $Q$2,B51)</f>
      </c>
      <c r="Q51" s="11">
        <f>_xlfn.LAMBDA(m,n,k, 2*m*n*k*1000*1000/$N$9/1024/1024/1024/1024/$I$10)(B51*$S$2/$F$12,$Q$8*2,$Q$2)</f>
      </c>
      <c r="R51" s="11">
        <f>_xlfn.LAMBDA(m,n,k, 2*m*n*k*1000*1000/$N$9/1024/1024/1024/1024/$I$10)(B51*$S$2/$F$12,$Q$2,$Q$8)</f>
      </c>
      <c r="S51" s="11">
        <v>0</v>
      </c>
      <c r="T51" s="11">
        <f>CEILING($Q$9/$F$11)*SUM(D51:S51)/1000</f>
      </c>
      <c r="U51" s="11">
        <f>CEILING(A51/B51)*T51+($F$11-1)*T51</f>
      </c>
      <c r="V51" s="11">
        <v>0.8</v>
      </c>
      <c r="W51" s="11">
        <f>B51/(T51/1000)*V51/$F$9/(1-$C$7)</f>
      </c>
      <c r="X51" s="11">
        <f>1000000*$N$15/24/60/60/W51</f>
      </c>
      <c r="Y51" s="11">
        <f>X51*$C$6</f>
      </c>
      <c r="Z51" s="11"/>
      <c r="AA51" s="11"/>
      <c r="AB51" s="2"/>
      <c r="AC51" s="2"/>
      <c r="AD51" s="2"/>
      <c r="AE51" s="2"/>
      <c r="AF51" s="2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</row>
    <row r="52">
      <c r="A52" s="1">
        <f>50*1024</f>
      </c>
      <c r="B52" s="1">
        <v>1024</v>
      </c>
      <c r="C52" s="1">
        <f>B52*$F$10</f>
      </c>
      <c r="D52" s="12">
        <f>_xlfn.LAMBDA(m,n,k, 2*m*n*k*1000*1000/$N$2/1024/1024/1024/1024/$I$9)(B52,$Q$10,$Q$2)</f>
      </c>
      <c r="E52" s="12">
        <f>_xlfn.LAMBDA(m,n,k, 2*m*n*k*1000*1000/$N$9/1024/1024/1024/1024/$I$9)(B52, $Q$3*(128+64)/$F$10, $Q$10)</f>
      </c>
      <c r="F52" s="13">
        <f>_xlfn.LAMBDA(m,n,k, 2*m*n*k*1000*1000/$N$9/1024/1024/1024/1024/$I$9)(B52,$Q$11*$Q$12,$Q$10)</f>
      </c>
      <c r="G52" s="11">
        <f>_xlfn.LAMBDA(m,n,k, 2*m*n*k*1000*1000/$N$9/1024/1024/1024/1024/$I$9)(B52,$Q$11,$Q$2)</f>
      </c>
      <c r="H52" s="11">
        <f>_xlfn.LAMBDA(m,n,k, 2*m*n*k*1000*1000/$N$14/1024/1024/1024/1024/$I$9)(B52,$Q$12,$Q$2)</f>
      </c>
      <c r="I52" s="11">
        <f>_xlfn.LAMBDA(seq_len, q_len, bs, 2*seq_len*seq_len/2*($Q$12*$Q$11/$N$12 + $Q$12/$N$14)*1000*1000/1024/1024/1024/1024/$K$13/(seq_len/B52))(A52,$C$3,B52)</f>
      </c>
      <c r="J52" s="11">
        <f>_xlfn.LAMBDA(m,n,k, 2*m*n*k*1000*1000/$N$9/1024/1024/1024/1024/$I$9)(B52,$Q$6,$Q$2)</f>
      </c>
      <c r="K52" s="11">
        <f>_xlfn.LAMBDA(b, m,n,k, 2*b*m*n*k*1000*1000/$N$14/1024/1024/1024/1024/$I$9)($Q$3, B52, 128, $Q$7)</f>
      </c>
      <c r="L52" s="11">
        <f>_xlfn.LAMBDA(seq_len, q_len, bs, (MAX(seq_len - 2048, 0) + seq_len) * 2048 / 2 * 1.8*2*$Q$3/$F$10*($Q$6 + $Q$7)*1000*1000/1000/1000/1000/1000/$N$12/$K$13/(A52/B52))(A52, A52,B52)</f>
      </c>
      <c r="M52" s="11">
        <f>_xlfn.LAMBDA(b, m,n,k, 2*b*m*n*k*1000*1000/$N$14/1024/1024/1024/1024/$I$9)($Q$3,B52, 128, $Q$7)</f>
      </c>
      <c r="N52" s="11">
        <f>_xlfn.LAMBDA(m,n,k, 2*m*n*k*1000*1000/$N$9/1024/1024/1024/1024/$I$9)(B52, $Q$3*128/$F$10, $Q$2)</f>
      </c>
      <c r="O52" s="11">
        <v>2000</v>
      </c>
      <c r="P52" s="11">
        <f>_xlfn.LAMBDA(tp_size, hidden_size, batch_size, 2*batch_size*(tp_size-1)/tp_size*hidden_size*1000*1000/$N$11/1024/1024/1024/$I$13)($F$10, $Q$2,B52)</f>
      </c>
      <c r="Q52" s="11">
        <f>_xlfn.LAMBDA(m,n,k, 2*m*n*k*1000*1000/$N$9/1024/1024/1024/1024/$I$10)(B52*$S$2/$F$12,$Q$8*2,$Q$2)</f>
      </c>
      <c r="R52" s="11">
        <f>_xlfn.LAMBDA(m,n,k, 2*m*n*k*1000*1000/$N$9/1024/1024/1024/1024/$I$10)(B52*$S$2/$F$12,$Q$2,$Q$8)</f>
      </c>
      <c r="S52" s="11">
        <v>0</v>
      </c>
      <c r="T52" s="11">
        <f>CEILING($Q$9/$F$11)*SUM(D52:S52)/1000</f>
      </c>
      <c r="U52" s="11">
        <f>CEILING(A52/B52)*T52+($F$11-1)*T52</f>
      </c>
      <c r="V52" s="11">
        <v>0.8</v>
      </c>
      <c r="W52" s="11">
        <f>B52/(T52/1000)*V52/$F$9/(1-$C$7)</f>
      </c>
      <c r="X52" s="11">
        <f>1000000*$N$15/24/60/60/W52</f>
      </c>
      <c r="Y52" s="11">
        <f>X52*$C$6</f>
      </c>
      <c r="Z52" s="11"/>
      <c r="AA52" s="11"/>
      <c r="AB52" s="2"/>
      <c r="AC52" s="2"/>
      <c r="AD52" s="2"/>
      <c r="AE52" s="2"/>
      <c r="AF52" s="2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</row>
    <row r="53">
      <c r="A53" s="1">
        <f>64*1024</f>
      </c>
      <c r="B53" s="1">
        <v>1024</v>
      </c>
      <c r="C53" s="1">
        <f>B53*$F$10</f>
      </c>
      <c r="D53" s="12">
        <f>_xlfn.LAMBDA(m,n,k, 2*m*n*k*1000*1000/$N$2/1024/1024/1024/1024/$I$9)(B53,$Q$10,$Q$2)</f>
      </c>
      <c r="E53" s="12">
        <f>_xlfn.LAMBDA(m,n,k, 2*m*n*k*1000*1000/$N$9/1024/1024/1024/1024/$I$9)(B53, $Q$3*(128+64)/$F$10, $Q$10)</f>
      </c>
      <c r="F53" s="13">
        <f>_xlfn.LAMBDA(m,n,k, 2*m*n*k*1000*1000/$N$9/1024/1024/1024/1024/$I$9)(B53,$Q$11*$Q$12,$Q$10)</f>
      </c>
      <c r="G53" s="11">
        <f>_xlfn.LAMBDA(m,n,k, 2*m*n*k*1000*1000/$N$9/1024/1024/1024/1024/$I$9)(B53,$Q$11,$Q$2)</f>
      </c>
      <c r="H53" s="11">
        <f>_xlfn.LAMBDA(m,n,k, 2*m*n*k*1000*1000/$N$14/1024/1024/1024/1024/$I$9)(B53,$Q$12,$Q$2)</f>
      </c>
      <c r="I53" s="11">
        <f>_xlfn.LAMBDA(seq_len, q_len, bs, 2*seq_len*seq_len/2*($Q$12*$Q$11/$N$12 + $Q$12/$N$14)*1000*1000/1024/1024/1024/1024/$K$13/(seq_len/B53))(A53,$C$3,B53)</f>
      </c>
      <c r="J53" s="11">
        <f>_xlfn.LAMBDA(m,n,k, 2*m*n*k*1000*1000/$N$9/1024/1024/1024/1024/$I$9)(B53,$Q$6,$Q$2)</f>
      </c>
      <c r="K53" s="11">
        <f>_xlfn.LAMBDA(b, m,n,k, 2*b*m*n*k*1000*1000/$N$14/1024/1024/1024/1024/$I$9)($Q$3, B53, 128, $Q$7)</f>
      </c>
      <c r="L53" s="11">
        <f>_xlfn.LAMBDA(seq_len, q_len, bs, (MAX(seq_len - 2048, 0) + seq_len) * 2048 / 2 * 1.8*2*$Q$3/$F$10*($Q$6 + $Q$7)*1000*1000/1000/1000/1000/1000/$N$12/$K$13/(A53/B53))(A53, A53,B53)</f>
      </c>
      <c r="M53" s="11">
        <f>_xlfn.LAMBDA(b, m,n,k, 2*b*m*n*k*1000*1000/$N$14/1024/1024/1024/1024/$I$9)($Q$3,B53, 128, $Q$7)</f>
      </c>
      <c r="N53" s="11">
        <f>_xlfn.LAMBDA(m,n,k, 2*m*n*k*1000*1000/$N$9/1024/1024/1024/1024/$I$9)(B53, $Q$3*128/$F$10, $Q$2)</f>
      </c>
      <c r="O53" s="11">
        <v>2000</v>
      </c>
      <c r="P53" s="11">
        <f>_xlfn.LAMBDA(tp_size, hidden_size, batch_size, 2*batch_size*(tp_size-1)/tp_size*hidden_size*1000*1000/$N$11/1024/1024/1024/$I$13)($F$10, $Q$2,B53)</f>
      </c>
      <c r="Q53" s="11">
        <f>_xlfn.LAMBDA(m,n,k, 2*m*n*k*1000*1000/$N$9/1024/1024/1024/1024/$I$10)(B53*$S$2/$F$12,$Q$8*2,$Q$2)</f>
      </c>
      <c r="R53" s="11">
        <f>_xlfn.LAMBDA(m,n,k, 2*m*n*k*1000*1000/$N$9/1024/1024/1024/1024/$I$10)(B53*$S$2/$F$12,$Q$2,$Q$8)</f>
      </c>
      <c r="S53" s="11">
        <v>0</v>
      </c>
      <c r="T53" s="11">
        <f>CEILING($Q$9/$F$11)*SUM(D53:S53)/1000</f>
      </c>
      <c r="U53" s="11">
        <f>CEILING(A53/B53)*T53+($F$11-1)*T53</f>
      </c>
      <c r="V53" s="11">
        <v>0.8</v>
      </c>
      <c r="W53" s="11">
        <f>B53/(T53/1000)*V53/$F$9/(1-$C$7)</f>
      </c>
      <c r="X53" s="11">
        <f>1000000*$N$15/24/60/60/W53</f>
      </c>
      <c r="Y53" s="11">
        <f>X53*$C$6</f>
      </c>
      <c r="Z53" s="11"/>
      <c r="AA53" s="11"/>
      <c r="AB53" s="2"/>
      <c r="AC53" s="2"/>
      <c r="AD53" s="2"/>
      <c r="AE53" s="2"/>
      <c r="AF53" s="2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</row>
    <row r="54">
      <c r="A54" s="1">
        <f>96*1024</f>
      </c>
      <c r="B54" s="1">
        <v>1024</v>
      </c>
      <c r="C54" s="1">
        <f>B54*$F$10</f>
      </c>
      <c r="D54" s="12">
        <f>_xlfn.LAMBDA(m,n,k, 2*m*n*k*1000*1000/$N$2/1024/1024/1024/1024/$I$9)(B54,$Q$10,$Q$2)</f>
      </c>
      <c r="E54" s="12">
        <f>_xlfn.LAMBDA(m,n,k, 2*m*n*k*1000*1000/$N$9/1024/1024/1024/1024/$I$9)(B54, $Q$3*(128+64)/$F$10, $Q$10)</f>
      </c>
      <c r="F54" s="13">
        <f>_xlfn.LAMBDA(m,n,k, 2*m*n*k*1000*1000/$N$9/1024/1024/1024/1024/$I$9)(B54,$Q$11*$Q$12,$Q$10)</f>
      </c>
      <c r="G54" s="11">
        <f>_xlfn.LAMBDA(m,n,k, 2*m*n*k*1000*1000/$N$9/1024/1024/1024/1024/$I$9)(B54,$Q$11,$Q$2)</f>
      </c>
      <c r="H54" s="11">
        <f>_xlfn.LAMBDA(m,n,k, 2*m*n*k*1000*1000/$N$14/1024/1024/1024/1024/$I$9)(B54,$Q$12,$Q$2)</f>
      </c>
      <c r="I54" s="11">
        <f>_xlfn.LAMBDA(seq_len, q_len, bs, 2*seq_len*seq_len/2*($Q$12*$Q$11/$N$12 + $Q$12/$N$14)*1000*1000/1024/1024/1024/1024/$K$13/(seq_len/B54))(A54,$C$3,B54)</f>
      </c>
      <c r="J54" s="11">
        <f>_xlfn.LAMBDA(m,n,k, 2*m*n*k*1000*1000/$N$9/1024/1024/1024/1024/$I$9)(B54,$Q$6,$Q$2)</f>
      </c>
      <c r="K54" s="11">
        <f>_xlfn.LAMBDA(b, m,n,k, 2*b*m*n*k*1000*1000/$N$14/1024/1024/1024/1024/$I$9)($Q$3, B54, 128, $Q$7)</f>
      </c>
      <c r="L54" s="11">
        <f>_xlfn.LAMBDA(seq_len, q_len, bs, (MAX(seq_len - 2048, 0) + seq_len) * 2048 / 2 * 1.8*2*$Q$3/$F$10*($Q$6 + $Q$7)*1000*1000/1000/1000/1000/1000/$N$12/$K$13/(A54/B54))(A54, A54,B54)</f>
      </c>
      <c r="M54" s="11">
        <f>_xlfn.LAMBDA(b, m,n,k, 2*b*m*n*k*1000*1000/$N$14/1024/1024/1024/1024/$I$9)($Q$3,B54, 128, $Q$7)</f>
      </c>
      <c r="N54" s="11">
        <f>_xlfn.LAMBDA(m,n,k, 2*m*n*k*1000*1000/$N$9/1024/1024/1024/1024/$I$9)(B54, $Q$3*128/$F$10, $Q$2)</f>
      </c>
      <c r="O54" s="11">
        <v>2000</v>
      </c>
      <c r="P54" s="11">
        <f>_xlfn.LAMBDA(tp_size, hidden_size, batch_size, 2*batch_size*(tp_size-1)/tp_size*hidden_size*1000*1000/$N$11/1024/1024/1024/$I$13)($F$10, $Q$2,B54)</f>
      </c>
      <c r="Q54" s="11">
        <f>_xlfn.LAMBDA(m,n,k, 2*m*n*k*1000*1000/$N$9/1024/1024/1024/1024/$I$10)(B54*$S$2/$F$12,$Q$8*2,$Q$2)</f>
      </c>
      <c r="R54" s="11">
        <f>_xlfn.LAMBDA(m,n,k, 2*m*n*k*1000*1000/$N$9/1024/1024/1024/1024/$I$10)(B54*$S$2/$F$12,$Q$2,$Q$8)</f>
      </c>
      <c r="S54" s="11">
        <v>0</v>
      </c>
      <c r="T54" s="11">
        <f>CEILING($Q$9/$F$11)*SUM(D54:S54)/1000</f>
      </c>
      <c r="U54" s="11">
        <f>CEILING(A54/B54)*T54+($F$11-1)*T54</f>
      </c>
      <c r="V54" s="11">
        <v>0.8</v>
      </c>
      <c r="W54" s="11">
        <f>B54/(T54/1000)*V54/$F$9/(1-$C$7)</f>
      </c>
      <c r="X54" s="11">
        <f>1000000*$N$15/24/60/60/W54</f>
      </c>
      <c r="Y54" s="11">
        <f>X54*$C$6</f>
      </c>
      <c r="Z54" s="11"/>
      <c r="AA54" s="11"/>
      <c r="AB54" s="2"/>
      <c r="AC54" s="2"/>
      <c r="AD54" s="2"/>
      <c r="AE54" s="2"/>
      <c r="AF54" s="2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</row>
    <row r="55">
      <c r="A55" s="1">
        <f>128*1024</f>
      </c>
      <c r="B55" s="1">
        <v>1024</v>
      </c>
      <c r="C55" s="1">
        <f>B55*$F$10</f>
      </c>
      <c r="D55" s="12">
        <f>_xlfn.LAMBDA(m,n,k, 2*m*n*k*1000*1000/$N$2/1024/1024/1024/1024/$I$9)(B55,$Q$10,$Q$2)</f>
      </c>
      <c r="E55" s="12">
        <f>_xlfn.LAMBDA(m,n,k, 2*m*n*k*1000*1000/$N$9/1024/1024/1024/1024/$I$9)(B55, $Q$3*(128+64)/$F$10, $Q$10)</f>
      </c>
      <c r="F55" s="13">
        <f>_xlfn.LAMBDA(m,n,k, 2*m*n*k*1000*1000/$N$9/1024/1024/1024/1024/$I$9)(B55,$Q$11*$Q$12,$Q$10)</f>
      </c>
      <c r="G55" s="11">
        <f>_xlfn.LAMBDA(m,n,k, 2*m*n*k*1000*1000/$N$9/1024/1024/1024/1024/$I$9)(B55,$Q$11,$Q$2)</f>
      </c>
      <c r="H55" s="11">
        <f>_xlfn.LAMBDA(m,n,k, 2*m*n*k*1000*1000/$N$14/1024/1024/1024/1024/$I$9)(B55,$Q$12,$Q$2)</f>
      </c>
      <c r="I55" s="11">
        <f>_xlfn.LAMBDA(seq_len, q_len, bs, 2*seq_len*seq_len/2*($Q$12*$Q$11/$N$12 + $Q$12/$N$14)*1000*1000/1024/1024/1024/1024/$K$13/(seq_len/B55))(A55,$C$3,B55)</f>
      </c>
      <c r="J55" s="11">
        <f>_xlfn.LAMBDA(m,n,k, 2*m*n*k*1000*1000/$N$9/1024/1024/1024/1024/$I$9)(B55,$Q$6,$Q$2)</f>
      </c>
      <c r="K55" s="11">
        <f>_xlfn.LAMBDA(b, m,n,k, 2*b*m*n*k*1000*1000/$N$14/1024/1024/1024/1024/$I$9)($Q$3, B55, 128, $Q$7)</f>
      </c>
      <c r="L55" s="11">
        <f>_xlfn.LAMBDA(seq_len, q_len, bs, (MAX(seq_len - 2048, 0) + seq_len) * 2048 / 2 * 1.8*2*$Q$3/$F$10*($Q$6 + $Q$7)*1000*1000/1000/1000/1000/1000/$N$12/$K$13/(A55/B55))(A55, A55,B55)</f>
      </c>
      <c r="M55" s="11">
        <f>_xlfn.LAMBDA(b, m,n,k, 2*b*m*n*k*1000*1000/$N$14/1024/1024/1024/1024/$I$9)($Q$3,B55, 128, $Q$7)</f>
      </c>
      <c r="N55" s="11">
        <f>_xlfn.LAMBDA(m,n,k, 2*m*n*k*1000*1000/$N$9/1024/1024/1024/1024/$I$9)(B55, $Q$3*128/$F$10, $Q$2)</f>
      </c>
      <c r="O55" s="11">
        <v>2000</v>
      </c>
      <c r="P55" s="11">
        <f>_xlfn.LAMBDA(tp_size, hidden_size, batch_size, 2*batch_size*(tp_size-1)/tp_size*hidden_size*1000*1000/$N$11/1024/1024/1024/$I$13)($F$10, $Q$2,B55)</f>
      </c>
      <c r="Q55" s="11">
        <f>_xlfn.LAMBDA(m,n,k, 2*m*n*k*1000*1000/$N$9/1024/1024/1024/1024/$I$10)(B55*$S$2/$F$12,$Q$8*2,$Q$2)</f>
      </c>
      <c r="R55" s="11">
        <f>_xlfn.LAMBDA(m,n,k, 2*m*n*k*1000*1000/$N$9/1024/1024/1024/1024/$I$10)(B55*$S$2/$F$12,$Q$2,$Q$8)</f>
      </c>
      <c r="S55" s="11">
        <v>0</v>
      </c>
      <c r="T55" s="11">
        <f>CEILING($Q$9/$F$11)*SUM(D55:S55)/1000</f>
      </c>
      <c r="U55" s="11">
        <f>CEILING(A55/B55)*T55+($F$11-1)*T55</f>
      </c>
      <c r="V55" s="11">
        <v>0.8</v>
      </c>
      <c r="W55" s="11">
        <f>B55/(T55/1000)*V55/$F$9/(1-$C$7)</f>
      </c>
      <c r="X55" s="11">
        <f>1000000*$N$15/24/60/60/W55</f>
      </c>
      <c r="Y55" s="11">
        <f>X55*$C$6</f>
      </c>
      <c r="Z55" s="11"/>
      <c r="AA55" s="11"/>
      <c r="AB55" s="2"/>
      <c r="AC55" s="2"/>
      <c r="AD55" s="2"/>
      <c r="AE55" s="2"/>
      <c r="AF55" s="2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</row>
    <row r="56">
      <c r="A56" s="1">
        <f>192*1024</f>
      </c>
      <c r="B56" s="1">
        <v>1024</v>
      </c>
      <c r="C56" s="1">
        <f>B56*$F$10</f>
      </c>
      <c r="D56" s="12">
        <f>_xlfn.LAMBDA(m,n,k, 2*m*n*k*1000*1000/$N$2/1024/1024/1024/1024/$I$9)(B56,$Q$10,$Q$2)</f>
      </c>
      <c r="E56" s="12">
        <f>_xlfn.LAMBDA(m,n,k, 2*m*n*k*1000*1000/$N$9/1024/1024/1024/1024/$I$9)(B56, $Q$3*(128+64)/$F$10, $Q$10)</f>
      </c>
      <c r="F56" s="13">
        <f>_xlfn.LAMBDA(m,n,k, 2*m*n*k*1000*1000/$N$9/1024/1024/1024/1024/$I$9)(B56,$Q$11*$Q$12,$Q$10)</f>
      </c>
      <c r="G56" s="11">
        <f>_xlfn.LAMBDA(m,n,k, 2*m*n*k*1000*1000/$N$9/1024/1024/1024/1024/$I$9)(B56,$Q$11,$Q$2)</f>
      </c>
      <c r="H56" s="11">
        <f>_xlfn.LAMBDA(m,n,k, 2*m*n*k*1000*1000/$N$14/1024/1024/1024/1024/$I$9)(B56,$Q$12,$Q$2)</f>
      </c>
      <c r="I56" s="11">
        <f>_xlfn.LAMBDA(seq_len, q_len, bs, 2*seq_len*seq_len/2*($Q$12*$Q$11/$N$12 + $Q$12/$N$14)*1000*1000/1024/1024/1024/1024/$K$13/(seq_len/B56))(A56,$C$3,B56)</f>
      </c>
      <c r="J56" s="11">
        <f>_xlfn.LAMBDA(m,n,k, 2*m*n*k*1000*1000/$N$9/1024/1024/1024/1024/$I$9)(B56,$Q$6,$Q$2)</f>
      </c>
      <c r="K56" s="11">
        <f>_xlfn.LAMBDA(b, m,n,k, 2*b*m*n*k*1000*1000/$N$14/1024/1024/1024/1024/$I$9)($Q$3, B56, 128, $Q$7)</f>
      </c>
      <c r="L56" s="11">
        <f>_xlfn.LAMBDA(seq_len, q_len, bs, (MAX(seq_len - 2048, 0) + seq_len) * 2048 / 2 * 1.8*2*$Q$3/$F$10*($Q$6 + $Q$7)*1000*1000/1000/1000/1000/1000/$N$12/$K$13/(A56/B56))(A56, A56,B56)</f>
      </c>
      <c r="M56" s="11">
        <f>_xlfn.LAMBDA(b, m,n,k, 2*b*m*n*k*1000*1000/$N$14/1024/1024/1024/1024/$I$9)($Q$3,B56, 128, $Q$7)</f>
      </c>
      <c r="N56" s="11">
        <f>_xlfn.LAMBDA(m,n,k, 2*m*n*k*1000*1000/$N$9/1024/1024/1024/1024/$I$9)(B56, $Q$3*128/$F$10, $Q$2)</f>
      </c>
      <c r="O56" s="11">
        <v>2000</v>
      </c>
      <c r="P56" s="11">
        <f>_xlfn.LAMBDA(tp_size, hidden_size, batch_size, 2*batch_size*(tp_size-1)/tp_size*hidden_size*1000*1000/$N$11/1024/1024/1024/$I$13)($F$10, $Q$2,B56)</f>
      </c>
      <c r="Q56" s="11">
        <f>_xlfn.LAMBDA(m,n,k, 2*m*n*k*1000*1000/$N$9/1024/1024/1024/1024/$I$10)(B56*$S$2/$F$12,$Q$8*2,$Q$2)</f>
      </c>
      <c r="R56" s="11">
        <f>_xlfn.LAMBDA(m,n,k, 2*m*n*k*1000*1000/$N$9/1024/1024/1024/1024/$I$10)(B56*$S$2/$F$12,$Q$2,$Q$8)</f>
      </c>
      <c r="S56" s="11">
        <v>0</v>
      </c>
      <c r="T56" s="11">
        <f>CEILING($Q$9/$F$11)*SUM(D56:S56)/1000</f>
      </c>
      <c r="U56" s="11">
        <f>CEILING(A56/B56)*T56+($F$11-1)*T56</f>
      </c>
      <c r="V56" s="11">
        <v>0.8</v>
      </c>
      <c r="W56" s="11">
        <f>B56/(T56/1000)*V56/$F$9/(1-$C$7)</f>
      </c>
      <c r="X56" s="11">
        <f>1000000*$N$15/24/60/60/W56</f>
      </c>
      <c r="Y56" s="11">
        <f>X56*$C$6</f>
      </c>
      <c r="Z56" s="11"/>
      <c r="AA56" s="11"/>
      <c r="AB56" s="2"/>
      <c r="AC56" s="2"/>
      <c r="AD56" s="2"/>
      <c r="AE56" s="2"/>
      <c r="AF56" s="2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>
      <c r="A57" s="1">
        <f>256*1024</f>
      </c>
      <c r="B57" s="1">
        <v>1024</v>
      </c>
      <c r="C57" s="1">
        <f>B57*$F$10</f>
      </c>
      <c r="D57" s="12">
        <f>_xlfn.LAMBDA(m,n,k, 2*m*n*k*1000*1000/$N$2/1024/1024/1024/1024/$I$9)(B57,$Q$10,$Q$2)</f>
      </c>
      <c r="E57" s="12">
        <f>_xlfn.LAMBDA(m,n,k, 2*m*n*k*1000*1000/$N$9/1024/1024/1024/1024/$I$9)(B57, $Q$3*(128+64)/$F$10, $Q$10)</f>
      </c>
      <c r="F57" s="13">
        <f>_xlfn.LAMBDA(m,n,k, 2*m*n*k*1000*1000/$N$9/1024/1024/1024/1024/$I$9)(B57,$Q$11*$Q$12,$Q$10)</f>
      </c>
      <c r="G57" s="11">
        <f>_xlfn.LAMBDA(m,n,k, 2*m*n*k*1000*1000/$N$9/1024/1024/1024/1024/$I$9)(B57,$Q$11,$Q$2)</f>
      </c>
      <c r="H57" s="11">
        <f>_xlfn.LAMBDA(m,n,k, 2*m*n*k*1000*1000/$N$14/1024/1024/1024/1024/$I$9)(B57,$Q$12,$Q$2)</f>
      </c>
      <c r="I57" s="11">
        <f>_xlfn.LAMBDA(seq_len, q_len, bs, 2*seq_len*seq_len/2*($Q$12*$Q$11/$N$12 + $Q$12/$N$14)*1000*1000/1024/1024/1024/1024/$K$13/(seq_len/B57))(A57,$C$3,B57)</f>
      </c>
      <c r="J57" s="11">
        <f>_xlfn.LAMBDA(m,n,k, 2*m*n*k*1000*1000/$N$9/1024/1024/1024/1024/$I$9)(B57,$Q$6,$Q$2)</f>
      </c>
      <c r="K57" s="11">
        <f>_xlfn.LAMBDA(b, m,n,k, 2*b*m*n*k*1000*1000/$N$14/1024/1024/1024/1024/$I$9)($Q$3, B57, 128, $Q$7)</f>
      </c>
      <c r="L57" s="11">
        <f>_xlfn.LAMBDA(seq_len, q_len, bs, (MAX(seq_len - 2048, 0) + seq_len) * 2048 / 2 * 1.8*2*$Q$3/$F$10*($Q$6 + $Q$7)*1000*1000/1000/1000/1000/1000/$N$12/$K$13/(A57/B57))(A57, A57,B57)</f>
      </c>
      <c r="M57" s="11">
        <f>_xlfn.LAMBDA(b, m,n,k, 2*b*m*n*k*1000*1000/$N$14/1024/1024/1024/1024/$I$9)($Q$3,B57, 128, $Q$7)</f>
      </c>
      <c r="N57" s="11">
        <f>_xlfn.LAMBDA(m,n,k, 2*m*n*k*1000*1000/$N$9/1024/1024/1024/1024/$I$9)(B57, $Q$3*128/$F$10, $Q$2)</f>
      </c>
      <c r="O57" s="11">
        <v>2000</v>
      </c>
      <c r="P57" s="11">
        <f>_xlfn.LAMBDA(tp_size, hidden_size, batch_size, 2*batch_size*(tp_size-1)/tp_size*hidden_size*1000*1000/$N$11/1024/1024/1024/$I$13)($F$10, $Q$2,B57)</f>
      </c>
      <c r="Q57" s="11">
        <f>_xlfn.LAMBDA(m,n,k, 2*m*n*k*1000*1000/$N$9/1024/1024/1024/1024/$I$10)(B57*$S$2/$F$12,$Q$8*2,$Q$2)</f>
      </c>
      <c r="R57" s="11">
        <f>_xlfn.LAMBDA(m,n,k, 2*m*n*k*1000*1000/$N$9/1024/1024/1024/1024/$I$10)(B57*$S$2/$F$12,$Q$2,$Q$8)</f>
      </c>
      <c r="S57" s="11">
        <v>0</v>
      </c>
      <c r="T57" s="11">
        <f>CEILING($Q$9/$F$11)*SUM(D57:S57)/1000</f>
      </c>
      <c r="U57" s="11">
        <f>CEILING(A57/B57)*T57+($F$11-1)*T57</f>
      </c>
      <c r="V57" s="11">
        <v>0.8</v>
      </c>
      <c r="W57" s="11">
        <f>B57/(T57/1000)*V57/$F$9/(1-$C$7)</f>
      </c>
      <c r="X57" s="11">
        <f>1000000*$N$15/24/60/60/W57</f>
      </c>
      <c r="Y57" s="11">
        <f>X57*$C$6</f>
      </c>
      <c r="Z57" s="11"/>
      <c r="AA57" s="11"/>
      <c r="AB57" s="2"/>
      <c r="AC57" s="2"/>
      <c r="AD57" s="2"/>
      <c r="AE57" s="2"/>
      <c r="AF57" s="2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</row>
    <row r="58">
      <c r="A58" s="2"/>
      <c r="B58" s="2"/>
      <c r="C58" s="2"/>
      <c r="D58" s="2"/>
      <c r="E58" s="2"/>
      <c r="F58" s="1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>
      <c r="A125" s="1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>
      <c r="A126" s="1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>
      <c r="A127" s="1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>
      <c r="A128" s="1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>
      <c r="A129" s="1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>
      <c r="A130" s="1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>
      <c r="A131" s="1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>
      <c r="A132" s="1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>
      <c r="A133" s="1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>
      <c r="A134" s="1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>
      <c r="A135" s="1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>
      <c r="A136" s="1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>
      <c r="A137" s="1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>
      <c r="A138" s="1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>
      <c r="A139" s="1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>
      <c r="A140" s="1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>
      <c r="A141" s="1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>
      <c r="A142" s="1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>
      <c r="A143" s="1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>
      <c r="A144" s="1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>
      <c r="A145" s="1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>
      <c r="A146" s="1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>
      <c r="A147" s="1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>
      <c r="A148" s="1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>
      <c r="A149" s="1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>
      <c r="A150" s="1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>
      <c r="A151" s="1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>
      <c r="A152" s="1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>
      <c r="A153" s="1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>
      <c r="A154" s="1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>
      <c r="A155" s="1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>
      <c r="A156" s="1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>
      <c r="A157" s="1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>
      <c r="A158" s="1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>
      <c r="A159" s="1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>
      <c r="A160" s="1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>
      <c r="A161" s="1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>
      <c r="A162" s="1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>
      <c r="A163" s="1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>
      <c r="A164" s="1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>
      <c r="A165" s="1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>
      <c r="A166" s="1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>
      <c r="A167" s="1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>
      <c r="A168" s="1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>
      <c r="A169" s="1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>
      <c r="A170" s="1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>
      <c r="A171" s="1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>
      <c r="A172" s="1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>
      <c r="A173" s="1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>
      <c r="A174" s="1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>
      <c r="A175" s="1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>
      <c r="A176" s="1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>
      <c r="A177" s="1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>
      <c r="A178" s="1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>
      <c r="A179" s="1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>
      <c r="A180" s="1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>
      <c r="A181" s="1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>
      <c r="A182" s="1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>
      <c r="A183" s="1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>
      <c r="A184" s="1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>
      <c r="A185" s="1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>
      <c r="A186" s="1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>
      <c r="A187" s="1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>
      <c r="A188" s="1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>
      <c r="A189" s="1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>
      <c r="A190" s="1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>
      <c r="A191" s="1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</sheetData>
  <mergeCells>
    <mergeCell ref="A1:J1"/>
    <mergeCell ref="A2:A8"/>
    <mergeCell ref="D2:D8"/>
    <mergeCell ref="G2:G8"/>
    <mergeCell ref="L2:L8"/>
    <mergeCell ref="O2:O15"/>
    <mergeCell ref="D9:D15"/>
    <mergeCell ref="G9:G15"/>
    <mergeCell ref="L9:L15"/>
    <mergeCell ref="A19:BA19"/>
    <mergeCell ref="A40:Y40"/>
  </mergeCells>
  <dataValidations count="3">
    <dataValidation allowBlank="true" errorStyle="stop" showErrorMessage="true" sqref="F2 F9" type="list">
      <formula1>"8,16,32,64"</formula1>
    </dataValidation>
    <dataValidation allowBlank="true" errorStyle="stop" showErrorMessage="true" sqref="C2" type="list">
      <formula1>"10240,5120,2048"</formula1>
    </dataValidation>
    <dataValidation allowBlank="true" errorStyle="stop" showErrorMessage="true" sqref="F3 F10" type="list">
      <formula1>"1,2,4,8"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21"/>
    <col collapsed="false" customWidth="true" hidden="false" max="3" min="3" style="0" width="10"/>
    <col collapsed="false" customWidth="true" hidden="false" max="4" min="4" style="0" width="19"/>
    <col collapsed="false" customWidth="true" hidden="false" max="5" min="5" style="0" width="21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3"/>
    <col collapsed="false" customWidth="true" hidden="false" max="9" min="9" style="0" width="10"/>
    <col collapsed="false" customWidth="true" hidden="false" max="10" min="10" style="0" width="13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3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6"/>
    <col collapsed="false" customWidth="true" hidden="false" max="17" min="17" style="0" width="10"/>
    <col collapsed="false" customWidth="true" hidden="false" max="18" min="18" style="0" width="19"/>
    <col collapsed="false" customWidth="true" hidden="false" max="19" min="19" style="0" width="12"/>
    <col collapsed="false" customWidth="true" hidden="false" max="20" min="20" style="0" width="22"/>
    <col collapsed="false" customWidth="true" hidden="false" max="21" min="21" style="0" width="16"/>
    <col collapsed="false" customWidth="true" hidden="false" max="22" min="22" style="0" width="16"/>
    <col collapsed="false" customWidth="true" hidden="false" max="23" min="23" style="0" width="13"/>
    <col collapsed="false" customWidth="true" hidden="false" max="24" min="24" style="0" width="21"/>
    <col collapsed="false" customWidth="true" hidden="false" max="25" min="25" style="0" width="10"/>
    <col collapsed="false" customWidth="true" hidden="false" max="26" min="26" style="0" width="10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0"/>
    <col collapsed="false" customWidth="true" hidden="false" max="32" min="32" style="0" width="10"/>
    <col collapsed="false" customWidth="true" hidden="false" max="33" min="33" style="0" width="10"/>
    <col collapsed="false" customWidth="true" hidden="false" max="34" min="34" style="0" width="10"/>
    <col collapsed="false" customWidth="true" hidden="false" max="35" min="35" style="0" width="10"/>
    <col collapsed="false" customWidth="true" hidden="false" max="36" min="36" style="0" width="10"/>
    <col collapsed="false" customWidth="true" hidden="false" max="37" min="37" style="0" width="10"/>
    <col collapsed="false" customWidth="true" hidden="false" max="38" min="38" style="0" width="10"/>
    <col collapsed="false" customWidth="true" hidden="false" max="39" min="39" style="0" width="10"/>
    <col collapsed="false" customWidth="true" hidden="false" max="40" min="40" style="0" width="10"/>
    <col collapsed="false" customWidth="true" hidden="false" max="41" min="41" style="0" width="10"/>
    <col collapsed="false" customWidth="true" hidden="false" max="42" min="42" style="0" width="10"/>
    <col collapsed="false" customWidth="true" hidden="false" max="43" min="43" style="0" width="10"/>
    <col collapsed="false" customWidth="true" hidden="false" max="44" min="44" style="0" width="10"/>
    <col collapsed="false" customWidth="true" hidden="false" max="45" min="45" style="0" width="10"/>
    <col collapsed="false" customWidth="true" hidden="false" max="46" min="46" style="0" width="10"/>
    <col collapsed="false" customWidth="true" hidden="false" max="47" min="47" style="0" width="10"/>
    <col collapsed="false" customWidth="true" hidden="false" max="48" min="48" style="0" width="10"/>
    <col collapsed="false" customWidth="true" hidden="false" max="49" min="49" style="0" width="10"/>
    <col collapsed="false" customWidth="true" hidden="false" max="50" min="50" style="0" width="10"/>
    <col collapsed="false" customWidth="true" hidden="false" max="51" min="51" style="0" width="10"/>
    <col collapsed="false" customWidth="true" hidden="false" max="52" min="52" style="0" width="10"/>
    <col collapsed="false" customWidth="true" hidden="false" max="53" min="53" style="0" width="10"/>
    <col collapsed="false" customWidth="true" hidden="false" max="54" min="54" style="0" width="13"/>
    <col collapsed="false" customWidth="true" hidden="false" max="55" min="55" style="0" width="10"/>
    <col collapsed="false" customWidth="true" hidden="false" max="56" min="56" style="0" width="10"/>
    <col collapsed="false" customWidth="true" hidden="false" max="57" min="57" style="0" width="10"/>
    <col collapsed="false" customWidth="true" hidden="false" max="58" min="58" style="0" width="10"/>
    <col collapsed="false" customWidth="true" hidden="false" max="59" min="59" style="0" width="10"/>
    <col collapsed="false" customWidth="true" hidden="false" max="60" min="60" style="0" width="10"/>
    <col collapsed="false" customWidth="true" hidden="false" max="61" min="61" style="0" width="12"/>
    <col collapsed="false" customWidth="true" hidden="false" max="62" min="62" style="0" width="10"/>
    <col collapsed="false" customWidth="true" hidden="false" max="63" min="63" style="0" width="10"/>
    <col collapsed="false" customWidth="true" hidden="false" max="64" min="64" style="0" width="10"/>
    <col collapsed="false" customWidth="true" hidden="false" max="65" min="65" style="0" width="10"/>
    <col collapsed="false" customWidth="true" hidden="false" max="66" min="66" style="0" width="10"/>
    <col collapsed="false" customWidth="true" hidden="false" max="67" min="67" style="0" width="10"/>
    <col collapsed="false" customWidth="true" hidden="false" max="68" min="68" style="0" width="10"/>
    <col collapsed="false" customWidth="true" hidden="false" max="69" min="69" style="0" width="10"/>
    <col collapsed="false" customWidth="true" hidden="false" max="70" min="70" style="0" width="10"/>
    <col collapsed="false" customWidth="true" hidden="false" max="71" min="71" style="0" width="10"/>
  </cols>
  <sheetData>
    <row r="1">
      <c r="A1" s="25" t="str">
        <v>标绿的可以改，没标的不建议改，可以通过调整 Attention DP BatchSize 来控制 E2E 延迟</v>
      </c>
      <c r="B1" s="25"/>
      <c r="C1" s="25"/>
      <c r="D1" s="25"/>
      <c r="E1" s="25"/>
      <c r="F1" s="25"/>
      <c r="G1" s="25"/>
      <c r="H1" s="25"/>
      <c r="I1" s="25"/>
      <c r="J1" s="2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>
      <c r="A2" s="3" t="str">
        <v>Workload</v>
      </c>
      <c r="B2" s="4" t="str">
        <v>AVG SEQ_LEN</v>
      </c>
      <c r="C2" s="2">
        <v>5120</v>
      </c>
      <c r="D2" s="24" t="str">
        <v>Decode
并行配置
Decode 默认走DP+EP</v>
      </c>
      <c r="E2" s="1" t="str">
        <v>World Size</v>
      </c>
      <c r="F2" s="25">
        <v>8</v>
      </c>
      <c r="G2" s="3" t="str">
        <v>Decode SOL</v>
      </c>
      <c r="H2" s="1" t="str">
        <v>QKVGemm</v>
      </c>
      <c r="I2" s="23">
        <v>0.4</v>
      </c>
      <c r="J2" s="4" t="str">
        <v>OutProjGemm</v>
      </c>
      <c r="K2" s="23">
        <v>0.4943323544838017</v>
      </c>
      <c r="L2" s="3" t="str">
        <v>Decode
硬件参数</v>
      </c>
      <c r="M2" s="1" t="str">
        <v>ffn 算力(T)</v>
      </c>
      <c r="N2" s="1">
        <v>417</v>
      </c>
      <c r="O2" s="3" t="str">
        <v>模型结构</v>
      </c>
      <c r="P2" s="1" t="str">
        <v>hidden_size</v>
      </c>
      <c r="Q2" s="1">
        <v>6144</v>
      </c>
      <c r="R2" s="4" t="str">
        <v>top_k</v>
      </c>
      <c r="S2" s="4">
        <v>8</v>
      </c>
      <c r="T2" s="4" t="str">
        <v>num_share_experts</v>
      </c>
      <c r="U2" s="4">
        <v>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>
      <c r="A3" s="3"/>
      <c r="B3" s="1" t="str">
        <v>Spec Step</v>
      </c>
      <c r="C3" s="1">
        <v>2</v>
      </c>
      <c r="D3" s="24"/>
      <c r="E3" s="1" t="str">
        <v>Attn TP World Size</v>
      </c>
      <c r="F3" s="26">
        <v>1</v>
      </c>
      <c r="G3" s="3"/>
      <c r="H3" s="1" t="str">
        <v>GroupFFN0</v>
      </c>
      <c r="I3" s="23">
        <v>0.3</v>
      </c>
      <c r="J3" s="4" t="str">
        <v>ShareFFN0</v>
      </c>
      <c r="K3" s="23">
        <v>0.44</v>
      </c>
      <c r="L3" s="3"/>
      <c r="M3" s="1" t="str">
        <v>显存带宽(T)</v>
      </c>
      <c r="N3" s="26">
        <v>4.2</v>
      </c>
      <c r="O3" s="3"/>
      <c r="P3" s="1" t="str">
        <v>q_head_num</v>
      </c>
      <c r="Q3" s="1">
        <v>64</v>
      </c>
      <c r="R3" s="4" t="str">
        <v>num_experts</v>
      </c>
      <c r="S3" s="4">
        <v>256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>
      <c r="A4" s="3"/>
      <c r="B4" s="1" t="str">
        <v>Accept Rate</v>
      </c>
      <c r="C4" s="25">
        <v>0.8</v>
      </c>
      <c r="D4" s="24"/>
      <c r="E4" s="4" t="str">
        <v>Attn DP World Size</v>
      </c>
      <c r="F4" s="1">
        <f>F2/F3</f>
      </c>
      <c r="G4" s="3"/>
      <c r="H4" s="1" t="str">
        <v>GroupFFN1</v>
      </c>
      <c r="I4" s="23">
        <v>0.3</v>
      </c>
      <c r="J4" s="4" t="str">
        <v>ShareFFN1</v>
      </c>
      <c r="K4" s="23">
        <v>0.4</v>
      </c>
      <c r="L4" s="3"/>
      <c r="M4" s="1" t="str">
        <v>ar/ag/rs带宽</v>
      </c>
      <c r="N4" s="1">
        <v>554</v>
      </c>
      <c r="O4" s="3"/>
      <c r="P4" s="1" t="str">
        <v>k_head_num</v>
      </c>
      <c r="Q4" s="1">
        <v>1</v>
      </c>
      <c r="R4" s="1" t="str">
        <v>qkvo 参数量(B)</v>
      </c>
      <c r="S4" s="23"/>
      <c r="T4" s="4" t="str">
        <v>激活量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>
      <c r="A5" s="3"/>
      <c r="B5" s="4" t="str">
        <v>Accept Len</v>
      </c>
      <c r="C5" s="22">
        <f>(1-C4^C3)/(1-C4)</f>
      </c>
      <c r="D5" s="24"/>
      <c r="E5" s="1" t="str">
        <v>FFN World Size</v>
      </c>
      <c r="F5" s="1">
        <f>F2</f>
      </c>
      <c r="G5" s="3"/>
      <c r="H5" s="1" t="str">
        <v>Attention</v>
      </c>
      <c r="I5" s="23">
        <v>0.5</v>
      </c>
      <c r="J5" s="4" t="str">
        <v>访存 SOL</v>
      </c>
      <c r="K5" s="4">
        <v>0.7</v>
      </c>
      <c r="L5" s="3"/>
      <c r="M5" s="1" t="str">
        <v>attn 算力(T)</v>
      </c>
      <c r="N5" s="1">
        <v>417</v>
      </c>
      <c r="O5" s="3"/>
      <c r="P5" s="4" t="str">
        <v>v_head_num</v>
      </c>
      <c r="Q5" s="1">
        <v>1</v>
      </c>
      <c r="R5" s="1" t="str">
        <v>ffn 参数量(B)</v>
      </c>
      <c r="S5" s="23">
        <f>$Q$9*($Q$2*$Q$8*3*($S$3))/1024/1024/1024</f>
      </c>
      <c r="T5" s="4" t="str">
        <v>share_experts 参数量(B)</v>
      </c>
      <c r="U5" s="22">
        <f>$Q$9*($Q$2*$Q$8*3*$U$2)/1024/1024/1024</f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>
      <c r="A6" s="3"/>
      <c r="B6" s="4" t="str">
        <v>Cost3 系数</v>
      </c>
      <c r="C6" s="4">
        <v>1.5</v>
      </c>
      <c r="D6" s="24"/>
      <c r="E6" s="4" t="str">
        <v>显存总量(GB)</v>
      </c>
      <c r="F6" s="4">
        <v>96</v>
      </c>
      <c r="G6" s="3"/>
      <c r="H6" s="1" t="str">
        <v>NCCL(TP)</v>
      </c>
      <c r="I6" s="23">
        <v>0.4</v>
      </c>
      <c r="J6" s="4" t="str">
        <v>DSA</v>
      </c>
      <c r="K6" s="4">
        <v>0.7</v>
      </c>
      <c r="L6" s="3"/>
      <c r="M6" s="4" t="str">
        <v>all2all带宽(GB)</v>
      </c>
      <c r="N6" s="1">
        <v>554</v>
      </c>
      <c r="O6" s="3"/>
      <c r="P6" s="1" t="str">
        <v>k_head_dim</v>
      </c>
      <c r="Q6" s="1">
        <v>576</v>
      </c>
      <c r="R6" s="4" t="str">
        <v>buffer 预留(GB)</v>
      </c>
      <c r="S6" s="25">
        <v>1</v>
      </c>
      <c r="T6" s="4" t="str">
        <v>词表参数量(B)</v>
      </c>
      <c r="U6" s="22">
        <f>Q2*S8/1024/1024/1024</f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>
      <c r="A7" s="3"/>
      <c r="B7" s="4" t="str">
        <v>Prefix Cache命中率</v>
      </c>
      <c r="C7" s="4">
        <v>0.1</v>
      </c>
      <c r="D7" s="24"/>
      <c r="E7" s="4"/>
      <c r="F7" s="4"/>
      <c r="G7" s="3"/>
      <c r="H7" s="1" t="str">
        <v>NCCL(A2A)</v>
      </c>
      <c r="I7" s="23">
        <v>0.4</v>
      </c>
      <c r="J7" s="4"/>
      <c r="K7" s="4"/>
      <c r="L7" s="3"/>
      <c r="M7" s="4" t="str">
        <v>bf16算力(T)</v>
      </c>
      <c r="N7" s="4">
        <v>233</v>
      </c>
      <c r="O7" s="3"/>
      <c r="P7" s="4" t="str">
        <v>v_head_dim</v>
      </c>
      <c r="Q7" s="4">
        <v>512</v>
      </c>
      <c r="R7" s="4" t="str">
        <v>kv_cache_1_batch(MB)</v>
      </c>
      <c r="S7" s="22">
        <f>(Q4*Q6+Q5*Q7+Q12*Q11)/F3*C2/1024/1024</f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>
      <c r="A8" s="3"/>
      <c r="B8" s="4"/>
      <c r="C8" s="4"/>
      <c r="D8" s="24"/>
      <c r="E8" s="4"/>
      <c r="F8" s="4"/>
      <c r="G8" s="3"/>
      <c r="H8" s="1" t="str">
        <v>Elementwise</v>
      </c>
      <c r="I8" s="23">
        <v>0.5</v>
      </c>
      <c r="J8" s="4"/>
      <c r="K8" s="4"/>
      <c r="L8" s="3"/>
      <c r="M8" s="4" t="str">
        <v>成本(元/Day)</v>
      </c>
      <c r="N8" s="4">
        <v>91</v>
      </c>
      <c r="O8" s="3"/>
      <c r="P8" s="1" t="str">
        <v>ffn_dim</v>
      </c>
      <c r="Q8" s="1">
        <v>2048</v>
      </c>
      <c r="R8" s="4" t="str">
        <v>vocab_size</v>
      </c>
      <c r="S8" s="4">
        <v>154880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>
      <c r="A9" s="4"/>
      <c r="B9" s="4"/>
      <c r="C9" s="4"/>
      <c r="D9" s="24" t="str">
        <v>Prefill
并行配置
*prefill 默认走 PP</v>
      </c>
      <c r="E9" s="1" t="str">
        <v>World Size</v>
      </c>
      <c r="F9" s="25">
        <v>8</v>
      </c>
      <c r="G9" s="3" t="str">
        <v>Prefill
SOL</v>
      </c>
      <c r="H9" s="1" t="str">
        <v>QKVGemm</v>
      </c>
      <c r="I9" s="23">
        <v>0.7</v>
      </c>
      <c r="J9" s="4" t="str">
        <v>OutProjGemm</v>
      </c>
      <c r="K9" s="23">
        <v>0.4943323544838017</v>
      </c>
      <c r="L9" s="3" t="str">
        <v>Prefill
硬件参数</v>
      </c>
      <c r="M9" s="1" t="str">
        <v>ffn 算力(T)</v>
      </c>
      <c r="N9" s="1">
        <v>417</v>
      </c>
      <c r="O9" s="3"/>
      <c r="P9" s="1" t="str">
        <v>layers</v>
      </c>
      <c r="Q9" s="1">
        <v>78</v>
      </c>
      <c r="R9" s="4" t="str">
        <v>kv_mirror_layers</v>
      </c>
      <c r="S9" s="4"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>
      <c r="A10" s="1"/>
      <c r="B10" s="4"/>
      <c r="C10" s="28"/>
      <c r="D10" s="24"/>
      <c r="E10" s="1" t="str">
        <v>TP World Size</v>
      </c>
      <c r="F10" s="26">
        <v>1</v>
      </c>
      <c r="G10" s="3"/>
      <c r="H10" s="1" t="str">
        <v>GroupFFN0</v>
      </c>
      <c r="I10" s="23">
        <v>0.5</v>
      </c>
      <c r="J10" s="4" t="str">
        <v>ShareFFN0</v>
      </c>
      <c r="K10" s="23">
        <v>0.44</v>
      </c>
      <c r="L10" s="3"/>
      <c r="M10" s="1" t="str">
        <v>显存带宽(T)</v>
      </c>
      <c r="N10" s="26">
        <v>4.2</v>
      </c>
      <c r="O10" s="3"/>
      <c r="P10" s="4" t="str">
        <v>q_lora_rank</v>
      </c>
      <c r="Q10" s="4">
        <v>2048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>
      <c r="A11" s="4"/>
      <c r="B11" s="4"/>
      <c r="C11" s="4"/>
      <c r="D11" s="24"/>
      <c r="E11" s="4" t="str">
        <v>PP World Size</v>
      </c>
      <c r="F11" s="1">
        <f>F9/F10</f>
      </c>
      <c r="G11" s="3"/>
      <c r="H11" s="1" t="str">
        <v>GroupFFN1</v>
      </c>
      <c r="I11" s="23">
        <v>0.5</v>
      </c>
      <c r="J11" s="4" t="str">
        <v>ShareFFN1</v>
      </c>
      <c r="K11" s="23">
        <v>0.4</v>
      </c>
      <c r="L11" s="3"/>
      <c r="M11" s="1" t="str">
        <v>ar/ag/rs带宽</v>
      </c>
      <c r="N11" s="1">
        <v>554</v>
      </c>
      <c r="O11" s="3"/>
      <c r="P11" s="4" t="str">
        <v>index_head_dim</v>
      </c>
      <c r="Q11" s="4">
        <v>128</v>
      </c>
      <c r="R11" s="4" t="str">
        <v>Rank Memory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>
      <c r="A12" s="4"/>
      <c r="B12" s="4"/>
      <c r="C12" s="4"/>
      <c r="D12" s="24"/>
      <c r="E12" s="1" t="str">
        <v>FFN World Size</v>
      </c>
      <c r="F12" s="1">
        <f>F10</f>
      </c>
      <c r="G12" s="3"/>
      <c r="H12" s="1" t="str">
        <v>Attention</v>
      </c>
      <c r="I12" s="23">
        <v>0.5</v>
      </c>
      <c r="J12" s="4" t="str">
        <v>访存 SOL</v>
      </c>
      <c r="K12" s="4">
        <v>0.7</v>
      </c>
      <c r="L12" s="3"/>
      <c r="M12" s="1" t="str">
        <v>attn 算力(T)</v>
      </c>
      <c r="N12" s="1">
        <v>417</v>
      </c>
      <c r="O12" s="3"/>
      <c r="P12" s="4" t="str">
        <v>index_n_heads</v>
      </c>
      <c r="Q12" s="4">
        <v>32</v>
      </c>
      <c r="R12" s="1" t="str">
        <v>qkvo</v>
      </c>
      <c r="S12" s="27">
        <f>S4/F3</f>
      </c>
      <c r="T12" s="4"/>
      <c r="U12" s="4"/>
      <c r="V12" s="4"/>
      <c r="W12" s="4"/>
      <c r="X12" s="4" t="str">
        <v>ffn_weight_dtype</v>
      </c>
      <c r="Y12" s="4">
        <v>1</v>
      </c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>
      <c r="A13" s="37" t="str">
        <v>算子</v>
      </c>
      <c r="B13" s="37" t="str">
        <v>数据类型</v>
      </c>
      <c r="C13" s="4"/>
      <c r="D13" s="24"/>
      <c r="E13" s="4" t="str">
        <v>显存总量(GB)</v>
      </c>
      <c r="F13" s="4">
        <v>24</v>
      </c>
      <c r="G13" s="3"/>
      <c r="H13" s="1" t="str">
        <v>NCCL(TP)</v>
      </c>
      <c r="I13" s="23">
        <v>0.4</v>
      </c>
      <c r="J13" s="4" t="str">
        <v>DSA</v>
      </c>
      <c r="K13" s="4">
        <v>0.7</v>
      </c>
      <c r="L13" s="3"/>
      <c r="M13" s="4" t="str">
        <v>all2all带宽(GB)</v>
      </c>
      <c r="N13" s="1">
        <v>554</v>
      </c>
      <c r="O13" s="3"/>
      <c r="P13" s="4" t="str">
        <v>index_topk</v>
      </c>
      <c r="Q13" s="4">
        <v>2048</v>
      </c>
      <c r="R13" s="1" t="str">
        <v>ffn</v>
      </c>
      <c r="S13" s="27">
        <f>S5/2/F2</f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</row>
    <row r="14">
      <c r="A14" s="37" t="str">
        <v>Attention</v>
      </c>
      <c r="B14" s="37" t="str">
        <v>bf16</v>
      </c>
      <c r="C14" s="4"/>
      <c r="D14" s="24"/>
      <c r="E14" s="4"/>
      <c r="F14" s="4"/>
      <c r="G14" s="3"/>
      <c r="H14" s="1" t="str">
        <v>NCCL(A2A)</v>
      </c>
      <c r="I14" s="23">
        <v>0.5</v>
      </c>
      <c r="J14" s="4"/>
      <c r="K14" s="4"/>
      <c r="L14" s="3"/>
      <c r="M14" s="4" t="str">
        <v>bf16算力(T)</v>
      </c>
      <c r="N14" s="4">
        <v>233</v>
      </c>
      <c r="O14" s="3"/>
      <c r="P14" s="4" t="str">
        <v>use_sparse</v>
      </c>
      <c r="Q14" s="4">
        <v>1</v>
      </c>
      <c r="R14" s="4" t="str">
        <v>buffer</v>
      </c>
      <c r="S14" s="27">
        <f>S6</f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</row>
    <row r="15">
      <c r="A15" s="37" t="str">
        <v>MOE</v>
      </c>
      <c r="B15" s="37" t="str">
        <v>w8a8</v>
      </c>
      <c r="C15" s="4"/>
      <c r="D15" s="24"/>
      <c r="E15" s="4"/>
      <c r="F15" s="4"/>
      <c r="G15" s="3"/>
      <c r="H15" s="1" t="str">
        <v>Elementwise</v>
      </c>
      <c r="I15" s="23">
        <v>0.5</v>
      </c>
      <c r="J15" s="4"/>
      <c r="K15" s="4"/>
      <c r="L15" s="3"/>
      <c r="M15" s="4" t="str">
        <v>成本(元/Day)</v>
      </c>
      <c r="N15" s="4">
        <v>91</v>
      </c>
      <c r="O15" s="3"/>
      <c r="P15" s="4"/>
      <c r="Q15" s="4"/>
      <c r="R15" s="4" t="str">
        <v>shared expert</v>
      </c>
      <c r="S15" s="27">
        <f>U5/2</f>
      </c>
      <c r="T15" s="4" t="str">
        <v>kvcache dtype(byte)</v>
      </c>
      <c r="U15" s="4">
        <v>2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</row>
    <row r="16">
      <c r="A16" s="37" t="str">
        <v>Indexer</v>
      </c>
      <c r="B16" s="37" t="str">
        <v>fp8</v>
      </c>
      <c r="C16" s="4"/>
      <c r="D16" s="4"/>
      <c r="E16" s="4"/>
      <c r="F16" s="4"/>
      <c r="G16" s="4"/>
      <c r="H16" s="28"/>
      <c r="I16" s="4"/>
      <c r="J16" s="4"/>
      <c r="K16" s="4"/>
      <c r="L16" s="4"/>
      <c r="M16" s="4"/>
      <c r="N16" s="4"/>
      <c r="O16" s="4"/>
      <c r="P16" s="4"/>
      <c r="Q16" s="4"/>
      <c r="R16" s="4" t="str">
        <v>vocab</v>
      </c>
      <c r="S16" s="27">
        <f>U6*2/F3</f>
      </c>
      <c r="T16" s="4" t="str">
        <v>KV cache size(KB)</v>
      </c>
      <c r="U16" s="4">
        <f>Q4*Q6*2*Q9/1024 * U15</f>
      </c>
      <c r="V16" s="4" t="str">
        <v>block_size</v>
      </c>
      <c r="W16" s="4">
        <v>256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tr">
        <v>kvcache</v>
      </c>
      <c r="S17" s="27">
        <f>F6-SUM(S12:S16)</f>
      </c>
      <c r="T17" s="4" t="str">
        <v>KV Cache tokens total (K)</v>
      </c>
      <c r="U17" s="4">
        <f>S17*1024*1024/U16/1000 * F2</f>
      </c>
      <c r="V17" s="4" t="str">
        <v>num_blocks (K)</v>
      </c>
      <c r="W17" s="4">
        <f>U17/256</f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</row>
    <row r="19">
      <c r="A19" s="21" t="str">
        <v>Decoding 分段成本 MLA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</row>
    <row r="20">
      <c r="A20" s="1" t="str">
        <v>起始长度</v>
      </c>
      <c r="B20" s="1" t="str">
        <v>DP BatchSize</v>
      </c>
      <c r="C20" s="1" t="str">
        <v>Global BatchSize</v>
      </c>
      <c r="D20" s="1" t="str">
        <v>q_a_proj 计算耗时
*fixed</v>
      </c>
      <c r="E20" s="1" t="str">
        <v>q_a_proj 访存耗时</v>
      </c>
      <c r="F20" s="1" t="str">
        <v>q_b_proj 计算耗时</v>
      </c>
      <c r="G20" s="1" t="str">
        <v>q_b_proj 访存耗时</v>
      </c>
      <c r="H20" s="1" t="str">
        <v>q_index_b_proj 计算耗时
*fixed</v>
      </c>
      <c r="I20" s="1" t="str">
        <v>q_index_b_proj 访存耗时</v>
      </c>
      <c r="J20" s="1" t="str">
        <v>kv_index_proj 计算耗时
*fixed</v>
      </c>
      <c r="K20" s="1" t="str">
        <v>kv_index_proj 访存耗时</v>
      </c>
      <c r="L20" s="1" t="str">
        <v>index_weight_proj 计算耗时
*fixed</v>
      </c>
      <c r="M20" s="19" t="str">
        <v>index_weight_proj 访存耗时</v>
      </c>
      <c r="N20" s="3" t="str">
        <v>index 计算耗时</v>
      </c>
      <c r="O20" s="30" t="str">
        <v>index 访存耗时</v>
      </c>
      <c r="P20" s="1" t="str">
        <v>k_b_proj 计算耗时
*bf16</v>
      </c>
      <c r="Q20" s="1" t="str">
        <v>k_b_proj 访存耗时
*bf16</v>
      </c>
      <c r="R20" s="1" t="str">
        <v>kv_a_proj 计算耗时
*fixed</v>
      </c>
      <c r="S20" s="30" t="str">
        <v>mla sparse 计算耗时</v>
      </c>
      <c r="T20" s="30" t="str">
        <v>mla sparse 访存耗时</v>
      </c>
      <c r="U20" s="17" t="str">
        <v>v_b_proj 计算耗时 
*bf16</v>
      </c>
      <c r="V20" s="1" t="str">
        <v>v_b_proj 访存耗时 
*bf16</v>
      </c>
      <c r="W20" s="1" t="str">
        <v>o_proj 计算耗时</v>
      </c>
      <c r="X20" s="1" t="str">
        <v>o_proj 访存耗时</v>
      </c>
      <c r="Y20" s="20" t="str">
        <v>element_wise&amp;topk&amp;share</v>
      </c>
      <c r="Z20" s="1" t="str">
        <v>all_reduce</v>
      </c>
      <c r="AA20" s="17" t="str">
        <v>all2all_0
*包含dp不均损耗</v>
      </c>
      <c r="AB20" s="17" t="str">
        <v>ffn0 计算耗时</v>
      </c>
      <c r="AC20" s="17" t="str">
        <v>ffn0 访存耗时</v>
      </c>
      <c r="AD20" s="1" t="str">
        <v>ffn1 计算耗时</v>
      </c>
      <c r="AE20" s="1" t="str">
        <v>ffn1 访存耗时</v>
      </c>
      <c r="AF20" s="1" t="str">
        <v>all2all_1
*包含ep不均损耗</v>
      </c>
      <c r="AG20" s="1" t="str">
        <v>all_gather</v>
      </c>
      <c r="AH20" s="3" t="str">
        <v>attn非sparse计算耗时</v>
      </c>
      <c r="AI20" s="3" t="str">
        <v>attn非sparse访存耗时</v>
      </c>
      <c r="AJ20" s="1" t="str">
        <v>per_layer耗时</v>
      </c>
      <c r="AK20" s="31" t="str">
        <v>非sparse per_layer耗时</v>
      </c>
      <c r="AL20" s="26" t="str">
        <v>ffn耗时占比</v>
      </c>
      <c r="AM20" s="29" t="str">
        <v>非sparse ffn耗时占比</v>
      </c>
      <c r="AN20" s="26" t="str">
        <v>attn耗时占比</v>
      </c>
      <c r="AO20" s="29" t="str">
        <v>非sparse attn耗时占比</v>
      </c>
      <c r="AP20" s="1" t="str">
        <v>all_layer耗时(ms)</v>
      </c>
      <c r="AQ20" s="1" t="str">
        <v>非 sparse all_layer耗时(ms)</v>
      </c>
      <c r="AR20" s="1" t="str">
        <v>per_token耗时(ms)</v>
      </c>
      <c r="AS20" s="1" t="str">
        <v>非 sparse per_token耗时(ms)</v>
      </c>
      <c r="AT20" s="1" t="str">
        <v>tps/card</v>
      </c>
      <c r="AU20" s="1" t="str">
        <v>非 sparse tps/card</v>
      </c>
      <c r="AV20" s="1" t="str">
        <v>cost1成本(元/百万Token)</v>
      </c>
      <c r="AW20" s="1" t="str">
        <v>非 sparse  cost1成本(元/百万Token)</v>
      </c>
      <c r="AX20" s="1" t="str">
        <v>cost3成本(元/百万Token)</v>
      </c>
      <c r="AY20" s="1" t="str">
        <v>非 sparse cost3成本(元/百万Token)</v>
      </c>
      <c r="AZ20" s="2"/>
      <c r="BA20" s="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>
      <c r="A21" s="4">
        <v>1</v>
      </c>
      <c r="B21" s="4">
        <v>20</v>
      </c>
      <c r="C21" s="4">
        <f>B21*$F$4*$C$3</f>
      </c>
      <c r="D21" s="12">
        <v>10</v>
      </c>
      <c r="E21" s="12">
        <f>_xlfn.LAMBDA(m,n,k,(m*k+2*m*n+n*k)*1000*1000/$N$3/1024/1024/1024/1024/$K$5)(B21*$C$3,$Q$10,$Q$2)</f>
      </c>
      <c r="F21" s="12">
        <f>_xlfn.LAMBDA(m,n,k, 2*m*n*k*1000*1000/$N$2/1024/1024/1024/1024/$I$2)(B21*$C$3, $Q$3*(128+64)/$F$3, $Q$10)</f>
      </c>
      <c r="G21" s="12">
        <f>_xlfn.LAMBDA(m,n,k,(m*k+2*m*n+n*k)*1000*1000/$N$3/1024/1024/1024/1024/$K$5)(B21*$C$3, $Q$3*(128+64)/$F$3, $Q$10)</f>
      </c>
      <c r="H21" s="12">
        <v>15</v>
      </c>
      <c r="I21" s="12">
        <f>_xlfn.LAMBDA(m,n,k,(m*k+2*m*n+n*k)*1000*1000/$N$3/1024/1024/1024/1024/$K$5)(B21*$C$3,$Q$11*$Q$12,$Q$10)</f>
      </c>
      <c r="J21" s="12">
        <v>15</v>
      </c>
      <c r="K21" s="12">
        <f>_xlfn.LAMBDA(m,n,k,(m*k+2*m*n+n*k)*1000*1000/$N$3/1024/1024/1024/1024/$K$5)(B21*$C$3,$Q$11,$Q$2)</f>
      </c>
      <c r="L21" s="12">
        <v>5</v>
      </c>
      <c r="M21" s="12">
        <f>_xlfn.LAMBDA(m,n,k,(2*m*k+2*m*n+2*n*k)*1000*1000/$N$3/1024/1024/1024/1024/$K$5)(B21*$C$3,$Q$12,$Q$2)</f>
      </c>
      <c r="N21" s="32">
        <f>_xlfn.LAMBDA(seq_len, q_len, bs, seq_len*q_len*bs*2*($Q$12*$Q$11/$N$5 + $Q$12 / $N$7)*1000*1000/1024/1024/1024/1024/$K$6)(A21,$C$3,B21)</f>
      </c>
      <c r="O21" s="32">
        <f>_xlfn.LAMBDA(seq_len, q_len, bs, (q_len*bs*$Q$12*$Q$11 + seq_len * bs * $Q$11 + q_len*bs*$Q$12*4)*1000*1000/1024/1024/1024/1024/$N$3/$K$5)(A21,$C$3,B21)</f>
      </c>
      <c r="P21" s="12">
        <f>_xlfn.LAMBDA(b, m,n,k, 2*b*m*n*k*1000*1000/$N$7/1024/1024/1024/1024/$I$2)($Q$3, B21*$C$3, 128, $Q$7)</f>
      </c>
      <c r="Q21" s="12">
        <f>_xlfn.LAMBDA(b,m,n,k,b*(2*m*k+2*m*n+2*n*k)*1000*1000/$N$3/1024/1024/1024/1024/$K$5)($Q$3, B21*$C$3, 128, $Q$7)</f>
      </c>
      <c r="R21" s="12">
        <v>10</v>
      </c>
      <c r="S21" s="32">
        <f>_xlfn.LAMBDA(seq_len, q_len, bs, seq_len*q_len*bs*2*$Q$3/$F$3*($Q$6 + $Q$7)*1000*1000/1024/1024/1024/1024/$N$7/$K$6)(MIN(A21,$Q$13),$C$3,B21)</f>
      </c>
      <c r="T21" s="32">
        <f>_xlfn.LAMBDA(seq_len, q_len, bs, seq_len*bs*$U$15*($Q$6 + $Q$7)*1000*1000/1024/1024/1024/1024/$N$3/$K$5)(MIN(A21,$Q$13),$C$3,B21)</f>
      </c>
      <c r="U21" s="12">
        <f>_xlfn.LAMBDA(b, m,n,k, 2*b*m*n*k*1000*1000/$N$7/1024/1024/1024/1024/$I$2)($Q$3, B21*$C$3, 128, $Q$7)</f>
      </c>
      <c r="V21" s="12">
        <f>_xlfn.LAMBDA(b,m,n,k,b*(2*m*k+2*m*n+2*n*k)*1000*1000/$N$3/1024/1024/1024/1024/$K$5)($Q$3, B21*$C$3, 128, $Q$7)</f>
      </c>
      <c r="W21" s="12">
        <f>_xlfn.LAMBDA(m,n,k, 2*m*n*k*1000*1000/$N$2/1024/1024/1024/1024/$K$2)(B21*$C$3, $Q$3*128/$F$3, $Q$2)</f>
      </c>
      <c r="X21" s="12">
        <f>_xlfn.LAMBDA(m,n,k,(m*k+2*m*n+n*k)*1000*1000/$N$3/1024/1024/1024/1024/$K$5)(B21*$C$3, $Q$3*128/$F$3, $Q$2)</f>
      </c>
      <c r="Y21" s="12">
        <f>150 + $B21 *$C$3 * 2.3</f>
      </c>
      <c r="Z21" s="12">
        <f>_xlfn.LAMBDA(tp_size, hidden_size, batch_size, 2*batch_size*(tp_size-1)/tp_size*hidden_size*1000*1000/$N$4/1024/1024/1024/$I$6)($F$3, $Q$2,B21*$C$3)</f>
      </c>
      <c r="AA21" s="12">
        <f>_xlfn.LAMBDA(token_size_per_rank, to_nodes,hidden_size, sizeof_dtype, 50 + 4*token_size_per_rank * to_nodes * hidden_size*sizeof_dtype*1000*1000/$N$6/1024/1024/1024/$I$7)(B21*$C$5/$F$3, MIN($F$2,$S$2), $Q$2, 1)</f>
      </c>
      <c r="AB21" s="12">
        <f>_xlfn.LAMBDA(m,n,k, 2*m*n*k*1000*1000/$N$2/1024/1024/1024/1024/$I$3)(C21*$S$2/$F$5,$Q$8*2,$Q$2)</f>
      </c>
      <c r="AC21" s="36">
        <f>_xlfn.LAMBDA(size_of_dtype, experts, ep_size, hidden_size, internal_dim, experts/ep_size*hidden_size*internal_dim*size_of_dtype/$N$3/$K$5/1024/1024/1024/1024*1000*1000)($Y$12,$S$3,$F$5,$Q$2,$Q$8*2)</f>
      </c>
      <c r="AD21" s="12">
        <f>_xlfn.LAMBDA(m,n,k, 2*m*n*k*1000*1000/$N$2/1024/1024/1024/1024/$I$3)(C21*$S$2/$F$5,$Q$2,$Q$8)</f>
      </c>
      <c r="AE21" s="36">
        <f>_xlfn.LAMBDA(size_of_dtype, experts, ep_size, hidden_size, internal_dim, experts/ep_size*hidden_size*internal_dim*size_of_dtype/$N$3/$K$5/1024/1024/1024/1024*1000*1000)($Y$12,$S$3,$F$5,$Q$8, $Q$2)</f>
      </c>
      <c r="AF21" s="12">
        <f>AA21</f>
      </c>
      <c r="AG21" s="12">
        <f>_xlfn.LAMBDA(tp_size, hidden_size, batch_size, batch_size*(tp_size-1)*hidden_size*1000*1000/$N$4/1024/1024/1024/$I$6)($F$3, $Q$2,B21*$C$3)</f>
      </c>
      <c r="AH21" s="32">
        <f>_xlfn.LAMBDA(seq_len, q_len, bs, 2*seq_len*q_len*bs*2*$Q$3/$F$3*($Q$6 + $Q$7)*1000*1000/1024/1024/1024/1024/$N$5/$I$5)(A21,$C$3,B21)</f>
      </c>
      <c r="AI21" s="32">
        <f>_xlfn.LAMBDA(seq_len, q_len, bs, seq_len*bs*($Q$6 + $Q$7)*1000*1000/1024/1024/1024/1024/$N$3/$K$5)(A21,$C$3,B21)</f>
      </c>
      <c r="AJ21" s="12">
        <f>MAX(D21:E21)+MAX(F21:G21)+MAX(H21:I21)+MAX(J21:K21)+MAX(L21:M21)+MAX(N21:O21)+MAX(P21:Q21)+MAX(R21:S21)+MAX(S21:T21)+MAX(U21:V21)+MAX(W21:X21)+MAX(AB21:AC21)+MAX(AD21:AE21)+SUM(Y21:AA21)+SUM(AF21:AG21)</f>
      </c>
      <c r="AK21" s="35">
        <f>AJ21-MAX(J21:K21)-MAX(L21:M21)-MAX(N21:O21)-MAX(H21:I21)-MAX(S21:T21)+MAX(AH21:AI21)-0.05*AJ21</f>
      </c>
      <c r="AL21" s="34">
        <f>(MAX(AB21:AC21)+MAX(AD21:AE21))/AJ21</f>
      </c>
      <c r="AM21" s="33">
        <f>(MAX(AB21:AC21)+MAX(AD21:AE21))/AK21</f>
      </c>
      <c r="AN21" s="34">
        <f>MAX(S21:T21)/AJ21</f>
      </c>
      <c r="AO21" s="33">
        <f>MAX(AH21:AI21)/AK21</f>
      </c>
      <c r="AP21" s="12">
        <f>AJ21*$Q$9/1000</f>
      </c>
      <c r="AQ21" s="12">
        <f>AK21*$Q$9/1000</f>
      </c>
      <c r="AR21" s="12">
        <f>(AP21+2)/$C$5</f>
      </c>
      <c r="AS21" s="12">
        <f>(AQ21+2)/$C$5</f>
      </c>
      <c r="AT21" s="12">
        <f>B21*1000/AR21/$F$3</f>
      </c>
      <c r="AU21" s="12">
        <f>B21*1000/AS21/$F$3</f>
      </c>
      <c r="AV21" s="13">
        <f>1000000*$N$8/24/60/60/AT21</f>
      </c>
      <c r="AW21" s="13">
        <f>1000000*$N$8/24/60/60/AU21</f>
      </c>
      <c r="AX21" s="13">
        <f>AV21*$C$6</f>
      </c>
      <c r="AY21" s="13">
        <f>AW21*$C$6</f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</row>
    <row r="22">
      <c r="A22" s="4">
        <v>1024</v>
      </c>
      <c r="B22" s="4">
        <v>20</v>
      </c>
      <c r="C22" s="4">
        <f>B22*$F$4*$C$3</f>
      </c>
      <c r="D22" s="12">
        <v>10</v>
      </c>
      <c r="E22" s="12">
        <f>_xlfn.LAMBDA(m,n,k,(m*k+2*m*n+n*k)*1000*1000/$N$3/1024/1024/1024/1024/$K$5)(B22*$C$3,$Q$10,$Q$2)</f>
      </c>
      <c r="F22" s="12">
        <f>_xlfn.LAMBDA(m,n,k, 2*m*n*k*1000*1000/$N$2/1024/1024/1024/1024/$I$2)(B22*$C$3, $Q$3*(128+64)/$F$3, $Q$10)</f>
      </c>
      <c r="G22" s="12">
        <f>_xlfn.LAMBDA(m,n,k,(m*k+2*m*n+n*k)*1000*1000/$N$3/1024/1024/1024/1024/$K$5)(B22*$C$3, $Q$3*(128+64)/$F$3, $Q$10)</f>
      </c>
      <c r="H22" s="12">
        <v>15</v>
      </c>
      <c r="I22" s="12">
        <f>_xlfn.LAMBDA(m,n,k,(m*k+2*m*n+n*k)*1000*1000/$N$3/1024/1024/1024/1024/$K$5)(B22*$C$3,$Q$11*$Q$12,$Q$10)</f>
      </c>
      <c r="J22" s="12">
        <v>15</v>
      </c>
      <c r="K22" s="12">
        <f>_xlfn.LAMBDA(m,n,k,(m*k+2*m*n+n*k)*1000*1000/$N$3/1024/1024/1024/1024/$K$5)(B22*$C$3,$Q$11,$Q$2)</f>
      </c>
      <c r="L22" s="12">
        <v>5</v>
      </c>
      <c r="M22" s="12">
        <f>_xlfn.LAMBDA(m,n,k,(2*m*k+2*m*n+2*n*k)*1000*1000/$N$3/1024/1024/1024/1024/$K$5)(B22*$C$3,$Q$12,$Q$2)</f>
      </c>
      <c r="N22" s="32">
        <f>_xlfn.LAMBDA(seq_len, q_len, bs, seq_len*q_len*bs*2*($Q$12*$Q$11/$N$5 + $Q$12 / $N$7)*1000*1000/1024/1024/1024/1024/$K$6)(A22,$C$3,B22)</f>
      </c>
      <c r="O22" s="32">
        <f>_xlfn.LAMBDA(seq_len, q_len, bs, (q_len*bs*$Q$12*$Q$11 + seq_len * bs * $Q$11 + q_len*bs*$Q$12*4)*1000*1000/1024/1024/1024/1024/$N$3/$K$5)(A22,$C$3,B22)</f>
      </c>
      <c r="P22" s="12">
        <f>_xlfn.LAMBDA(b, m,n,k, 2*b*m*n*k*1000*1000/$N$7/1024/1024/1024/1024/$I$2)($Q$3, B22*$C$3, 128, $Q$7)</f>
      </c>
      <c r="Q22" s="12">
        <f>_xlfn.LAMBDA(b,m,n,k,b*(2*m*k+2*m*n+2*n*k)*1000*1000/$N$3/1024/1024/1024/1024/$K$5)($Q$3, B22*$C$3, 128, $Q$7)</f>
      </c>
      <c r="R22" s="12">
        <v>10</v>
      </c>
      <c r="S22" s="32">
        <f>_xlfn.LAMBDA(seq_len, q_len, bs, seq_len*q_len*bs*2*$Q$3/$F$3*($Q$6 + $Q$7)*1000*1000/1024/1024/1024/1024/$N$7/$K$6)(MIN(A22,$Q$13),$C$3,B22)</f>
      </c>
      <c r="T22" s="32">
        <f>_xlfn.LAMBDA(seq_len, q_len, bs, seq_len*bs*$U$15*($Q$6 + $Q$7)*1000*1000/1024/1024/1024/1024/$N$3/$K$5)(MIN(A22,$Q$13),$C$3,B22)</f>
      </c>
      <c r="U22" s="12">
        <f>_xlfn.LAMBDA(b, m,n,k, 2*b*m*n*k*1000*1000/$N$7/1024/1024/1024/1024/$I$2)($Q$3, B22*$C$3, 128, $Q$7)</f>
      </c>
      <c r="V22" s="12">
        <f>_xlfn.LAMBDA(b,m,n,k,b*(2*m*k+2*m*n+2*n*k)*1000*1000/$N$3/1024/1024/1024/1024/$K$5)($Q$3, B22*$C$3, 128, $Q$7)</f>
      </c>
      <c r="W22" s="12">
        <f>_xlfn.LAMBDA(m,n,k, 2*m*n*k*1000*1000/$N$2/1024/1024/1024/1024/$K$2)(B22*$C$3, $Q$3*128/$F$3, $Q$2)</f>
      </c>
      <c r="X22" s="12">
        <f>_xlfn.LAMBDA(m,n,k,(m*k+2*m*n+n*k)*1000*1000/$N$3/1024/1024/1024/1024/$K$5)(B22*$C$3, $Q$3*128/$F$3, $Q$2)</f>
      </c>
      <c r="Y22" s="12">
        <f>150 + $B22 *$C$3 * 2.3</f>
      </c>
      <c r="Z22" s="12">
        <f>_xlfn.LAMBDA(tp_size, hidden_size, batch_size, 2*batch_size*(tp_size-1)/tp_size*hidden_size*1000*1000/$N$4/1024/1024/1024/$I$6)($F$3, $Q$2,B22*$C$3)</f>
      </c>
      <c r="AA22" s="12">
        <f>_xlfn.LAMBDA(token_size_per_rank, to_nodes,hidden_size, sizeof_dtype, 50 + 4*token_size_per_rank * to_nodes * hidden_size*sizeof_dtype*1000*1000/$N$6/1024/1024/1024/$I$7)(B22*$C$5/$F$3, MIN($F$2,$S$2), $Q$2, 1)</f>
      </c>
      <c r="AB22" s="12">
        <f>_xlfn.LAMBDA(m,n,k, 2*m*n*k*1000*1000/$N$2/1024/1024/1024/1024/$I$3)(C22*$S$2/$F$5,$Q$8*2,$Q$2)</f>
      </c>
      <c r="AC22" s="36">
        <f>_xlfn.LAMBDA(size_of_dtype, experts, ep_size, hidden_size, internal_dim, experts/ep_size*hidden_size*internal_dim*size_of_dtype/$N$3/$K$5/1024/1024/1024/1024*1000*1000)($Y$12,$S$3,$F$5,$Q$2,$Q$8*2)</f>
      </c>
      <c r="AD22" s="12">
        <f>_xlfn.LAMBDA(m,n,k, 2*m*n*k*1000*1000/$N$2/1024/1024/1024/1024/$I$3)(C22*$S$2/$F$5,$Q$2,$Q$8)</f>
      </c>
      <c r="AE22" s="36">
        <f>_xlfn.LAMBDA(size_of_dtype, experts, ep_size, hidden_size, internal_dim, experts/ep_size*hidden_size*internal_dim*size_of_dtype/$N$3/$K$5/1024/1024/1024/1024*1000*1000)($Y$12,$S$3,$F$5,$Q$8, $Q$2)</f>
      </c>
      <c r="AF22" s="12">
        <f>AA22</f>
      </c>
      <c r="AG22" s="12">
        <f>_xlfn.LAMBDA(tp_size, hidden_size, batch_size, batch_size*(tp_size-1)*hidden_size*1000*1000/$N$4/1024/1024/1024/$I$6)($F$3, $Q$2,B22*$C$3)</f>
      </c>
      <c r="AH22" s="32">
        <f>_xlfn.LAMBDA(seq_len, q_len, bs, 2*seq_len*q_len*bs*2*$Q$3/$F$3*($Q$6 + $Q$7)*1000*1000/1024/1024/1024/1024/$N$5/$I$5)(A22,$C$3,B22)</f>
      </c>
      <c r="AI22" s="32">
        <f>_xlfn.LAMBDA(seq_len, q_len, bs, seq_len*bs*($Q$6 + $Q$7)*1000*1000/1024/1024/1024/1024/$N$3/$K$5)(A22,$C$3,B22)</f>
      </c>
      <c r="AJ22" s="12">
        <f>MAX(D22:E22)+MAX(F22:G22)+MAX(H22:I22)+MAX(J22:K22)+MAX(L22:M22)+MAX(N22:O22)+MAX(P22:Q22)+MAX(R22:S22)+MAX(S22:T22)+MAX(U22:V22)+MAX(W22:X22)+MAX(AB22:AC22)+MAX(AD22:AE22)+SUM(Y22:AA22)+SUM(AF22:AG22)</f>
      </c>
      <c r="AK22" s="35">
        <f>AJ22-MAX(J22:K22)-MAX(L22:M22)-MAX(N22:O22)-MAX(H22:I22)-MAX(S22:T22)+MAX(AH22:AI22)-0.05*AJ22</f>
      </c>
      <c r="AL22" s="34">
        <f>(MAX(AB22:AC22)+MAX(AD22:AE22))/AJ22</f>
      </c>
      <c r="AM22" s="33">
        <f>(MAX(AB22:AC22)+MAX(AD22:AE22))/AK22</f>
      </c>
      <c r="AN22" s="34">
        <f>MAX(S22:T22)/AJ22</f>
      </c>
      <c r="AO22" s="33">
        <f>MAX(AH22:AI22)/AK22</f>
      </c>
      <c r="AP22" s="12">
        <f>AJ22*$Q$9/1000</f>
      </c>
      <c r="AQ22" s="12">
        <f>AK22*$Q$9/1000</f>
      </c>
      <c r="AR22" s="12">
        <f>(AP22+2)/$C$5</f>
      </c>
      <c r="AS22" s="12">
        <f>(AQ22+2)/$C$5</f>
      </c>
      <c r="AT22" s="12">
        <f>B22*1000/AR22/$F$3</f>
      </c>
      <c r="AU22" s="12">
        <f>B22*1000/AS22/$F$3</f>
      </c>
      <c r="AV22" s="13">
        <f>1000000*$N$8/24/60/60/AT22</f>
      </c>
      <c r="AW22" s="13">
        <f>1000000*$N$8/24/60/60/AU22</f>
      </c>
      <c r="AX22" s="13">
        <f>AV22*$C$6</f>
      </c>
      <c r="AY22" s="13">
        <f>AW22*$C$6</f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</row>
    <row r="23">
      <c r="A23" s="4">
        <v>2048</v>
      </c>
      <c r="B23" s="4">
        <v>20</v>
      </c>
      <c r="C23" s="4">
        <f>B23*$F$4*$C$3</f>
      </c>
      <c r="D23" s="12">
        <v>10</v>
      </c>
      <c r="E23" s="12">
        <f>_xlfn.LAMBDA(m,n,k,(m*k+2*m*n+n*k)*1000*1000/$N$3/1024/1024/1024/1024/$K$5)(B23*$C$3,$Q$10,$Q$2)</f>
      </c>
      <c r="F23" s="12">
        <f>_xlfn.LAMBDA(m,n,k, 2*m*n*k*1000*1000/$N$2/1024/1024/1024/1024/$I$2)(B23*$C$3, $Q$3*(128+64)/$F$3, $Q$10)</f>
      </c>
      <c r="G23" s="12">
        <f>_xlfn.LAMBDA(m,n,k,(m*k+2*m*n+n*k)*1000*1000/$N$3/1024/1024/1024/1024/$K$5)(B23*$C$3, $Q$3*(128+64)/$F$3, $Q$10)</f>
      </c>
      <c r="H23" s="12">
        <v>15</v>
      </c>
      <c r="I23" s="12">
        <f>_xlfn.LAMBDA(m,n,k,(m*k+2*m*n+n*k)*1000*1000/$N$3/1024/1024/1024/1024/$K$5)(B23*$C$3,$Q$11*$Q$12,$Q$10)</f>
      </c>
      <c r="J23" s="12">
        <v>15</v>
      </c>
      <c r="K23" s="12">
        <f>_xlfn.LAMBDA(m,n,k,(m*k+2*m*n+n*k)*1000*1000/$N$3/1024/1024/1024/1024/$K$5)(B23*$C$3,$Q$11,$Q$2)</f>
      </c>
      <c r="L23" s="12">
        <v>5</v>
      </c>
      <c r="M23" s="12">
        <f>_xlfn.LAMBDA(m,n,k,(2*m*k+2*m*n+2*n*k)*1000*1000/$N$3/1024/1024/1024/1024/$K$5)(B23*$C$3,$Q$12,$Q$2)</f>
      </c>
      <c r="N23" s="32">
        <f>_xlfn.LAMBDA(seq_len, q_len, bs, seq_len*q_len*bs*2*($Q$12*$Q$11/$N$5 + $Q$12 / $N$7)*1000*1000/1024/1024/1024/1024/$K$6)(A23,$C$3,B23)</f>
      </c>
      <c r="O23" s="32">
        <f>_xlfn.LAMBDA(seq_len, q_len, bs, (q_len*bs*$Q$12*$Q$11 + seq_len * bs * $Q$11 + q_len*bs*$Q$12*4)*1000*1000/1024/1024/1024/1024/$N$3/$K$5)(A23,$C$3,B23)</f>
      </c>
      <c r="P23" s="12">
        <f>_xlfn.LAMBDA(b, m,n,k, 2*b*m*n*k*1000*1000/$N$7/1024/1024/1024/1024/$I$2)($Q$3, B23*$C$3, 128, $Q$7)</f>
      </c>
      <c r="Q23" s="12">
        <f>_xlfn.LAMBDA(b,m,n,k,b*(2*m*k+2*m*n+2*n*k)*1000*1000/$N$3/1024/1024/1024/1024/$K$5)($Q$3, B23*$C$3, 128, $Q$7)</f>
      </c>
      <c r="R23" s="12">
        <v>10</v>
      </c>
      <c r="S23" s="32">
        <f>_xlfn.LAMBDA(seq_len, q_len, bs, seq_len*q_len*bs*2*$Q$3/$F$3*($Q$6 + $Q$7)*1000*1000/1024/1024/1024/1024/$N$7/$K$6)(MIN(A23,$Q$13),$C$3,B23)</f>
      </c>
      <c r="T23" s="32">
        <f>_xlfn.LAMBDA(seq_len, q_len, bs, seq_len*bs*$U$15*($Q$6 + $Q$7)*1000*1000/1024/1024/1024/1024/$N$3/$K$5)(MIN(A23,$Q$13),$C$3,B23)</f>
      </c>
      <c r="U23" s="12">
        <f>_xlfn.LAMBDA(b, m,n,k, 2*b*m*n*k*1000*1000/$N$7/1024/1024/1024/1024/$I$2)($Q$3, B23*$C$3, 128, $Q$7)</f>
      </c>
      <c r="V23" s="12">
        <f>_xlfn.LAMBDA(b,m,n,k,b*(2*m*k+2*m*n+2*n*k)*1000*1000/$N$3/1024/1024/1024/1024/$K$5)($Q$3, B23*$C$3, 128, $Q$7)</f>
      </c>
      <c r="W23" s="12">
        <f>_xlfn.LAMBDA(m,n,k, 2*m*n*k*1000*1000/$N$2/1024/1024/1024/1024/$K$2)(B23*$C$3, $Q$3*128/$F$3, $Q$2)</f>
      </c>
      <c r="X23" s="12">
        <f>_xlfn.LAMBDA(m,n,k,(m*k+2*m*n+n*k)*1000*1000/$N$3/1024/1024/1024/1024/$K$5)(B23*$C$3, $Q$3*128/$F$3, $Q$2)</f>
      </c>
      <c r="Y23" s="12">
        <f>150 + $B23 *$C$3 * 2.3</f>
      </c>
      <c r="Z23" s="12">
        <f>_xlfn.LAMBDA(tp_size, hidden_size, batch_size, 2*batch_size*(tp_size-1)/tp_size*hidden_size*1000*1000/$N$4/1024/1024/1024/$I$6)($F$3, $Q$2,B23*$C$3)</f>
      </c>
      <c r="AA23" s="12">
        <f>_xlfn.LAMBDA(token_size_per_rank, to_nodes,hidden_size, sizeof_dtype, 50 + 4*token_size_per_rank * to_nodes * hidden_size*sizeof_dtype*1000*1000/$N$6/1024/1024/1024/$I$7)(B23*$C$5/$F$3, MIN($F$2,$S$2), $Q$2, 1)</f>
      </c>
      <c r="AB23" s="12">
        <f>_xlfn.LAMBDA(m,n,k, 2*m*n*k*1000*1000/$N$2/1024/1024/1024/1024/$I$3)(C23*$S$2/$F$5,$Q$8*2,$Q$2)</f>
      </c>
      <c r="AC23" s="36">
        <f>_xlfn.LAMBDA(size_of_dtype, experts, ep_size, hidden_size, internal_dim, experts/ep_size*hidden_size*internal_dim*size_of_dtype/$N$3/$K$5/1024/1024/1024/1024*1000*1000)($Y$12,$S$3,$F$5,$Q$2,$Q$8*2)</f>
      </c>
      <c r="AD23" s="12">
        <f>_xlfn.LAMBDA(m,n,k, 2*m*n*k*1000*1000/$N$2/1024/1024/1024/1024/$I$3)(C23*$S$2/$F$5,$Q$2,$Q$8)</f>
      </c>
      <c r="AE23" s="36">
        <f>_xlfn.LAMBDA(size_of_dtype, experts, ep_size, hidden_size, internal_dim, experts/ep_size*hidden_size*internal_dim*size_of_dtype/$N$3/$K$5/1024/1024/1024/1024*1000*1000)($Y$12,$S$3,$F$5,$Q$8, $Q$2)</f>
      </c>
      <c r="AF23" s="12">
        <f>AA23</f>
      </c>
      <c r="AG23" s="12">
        <f>_xlfn.LAMBDA(tp_size, hidden_size, batch_size, batch_size*(tp_size-1)*hidden_size*1000*1000/$N$4/1024/1024/1024/$I$6)($F$3, $Q$2,B23*$C$3)</f>
      </c>
      <c r="AH23" s="32">
        <f>_xlfn.LAMBDA(seq_len, q_len, bs, 2*seq_len*q_len*bs*2*$Q$3/$F$3*($Q$6 + $Q$7)*1000*1000/1024/1024/1024/1024/$N$5/$I$5)(A23,$C$3,B23)</f>
      </c>
      <c r="AI23" s="32">
        <f>_xlfn.LAMBDA(seq_len, q_len, bs, seq_len*bs*($Q$6 + $Q$7)*1000*1000/1024/1024/1024/1024/$N$3/$K$5)(A23,$C$3,B23)</f>
      </c>
      <c r="AJ23" s="12">
        <f>MAX(D23:E23)+MAX(F23:G23)+MAX(H23:I23)+MAX(J23:K23)+MAX(L23:M23)+MAX(N23:O23)+MAX(P23:Q23)+MAX(R23:S23)+MAX(S23:T23)+MAX(U23:V23)+MAX(W23:X23)+MAX(AB23:AC23)+MAX(AD23:AE23)+SUM(Y23:AA23)+SUM(AF23:AG23)</f>
      </c>
      <c r="AK23" s="35">
        <f>AJ23-MAX(J23:K23)-MAX(L23:M23)-MAX(N23:O23)-MAX(H23:I23)-MAX(S23:T23)+MAX(AH23:AI23)-0.05*AJ23</f>
      </c>
      <c r="AL23" s="34">
        <f>(MAX(AB23:AC23)+MAX(AD23:AE23))/AJ23</f>
      </c>
      <c r="AM23" s="33">
        <f>(MAX(AB23:AC23)+MAX(AD23:AE23))/AK23</f>
      </c>
      <c r="AN23" s="34">
        <f>MAX(S23:T23)/AJ23</f>
      </c>
      <c r="AO23" s="33">
        <f>MAX(AH23:AI23)/AK23</f>
      </c>
      <c r="AP23" s="12">
        <f>AJ23*$Q$9/1000</f>
      </c>
      <c r="AQ23" s="12">
        <f>AK23*$Q$9/1000</f>
      </c>
      <c r="AR23" s="12">
        <f>(AP23+2)/$C$5</f>
      </c>
      <c r="AS23" s="12">
        <f>(AQ23+2)/$C$5</f>
      </c>
      <c r="AT23" s="12">
        <f>B23*1000/AR23/$F$3</f>
      </c>
      <c r="AU23" s="12">
        <f>B23*1000/AS23/$F$3</f>
      </c>
      <c r="AV23" s="13">
        <f>1000000*$N$8/24/60/60/AT23</f>
      </c>
      <c r="AW23" s="13">
        <f>1000000*$N$8/24/60/60/AU23</f>
      </c>
      <c r="AX23" s="13">
        <f>AV23*$C$6</f>
      </c>
      <c r="AY23" s="13">
        <f>AW23*$C$6</f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</row>
    <row r="24">
      <c r="A24" s="4">
        <v>3072</v>
      </c>
      <c r="B24" s="4">
        <v>15</v>
      </c>
      <c r="C24" s="4">
        <f>B24*$F$4*$C$3</f>
      </c>
      <c r="D24" s="12">
        <v>10</v>
      </c>
      <c r="E24" s="12">
        <f>_xlfn.LAMBDA(m,n,k,(m*k+2*m*n+n*k)*1000*1000/$N$3/1024/1024/1024/1024/$K$5)(B24*$C$3,$Q$10,$Q$2)</f>
      </c>
      <c r="F24" s="12">
        <f>_xlfn.LAMBDA(m,n,k, 2*m*n*k*1000*1000/$N$2/1024/1024/1024/1024/$I$2)(B24*$C$3, $Q$3*(128+64)/$F$3, $Q$10)</f>
      </c>
      <c r="G24" s="12">
        <f>_xlfn.LAMBDA(m,n,k,(m*k+2*m*n+n*k)*1000*1000/$N$3/1024/1024/1024/1024/$K$5)(B24*$C$3, $Q$3*(128+64)/$F$3, $Q$10)</f>
      </c>
      <c r="H24" s="12">
        <v>15</v>
      </c>
      <c r="I24" s="12">
        <f>_xlfn.LAMBDA(m,n,k,(m*k+2*m*n+n*k)*1000*1000/$N$3/1024/1024/1024/1024/$K$5)(B24*$C$3,$Q$11*$Q$12,$Q$10)</f>
      </c>
      <c r="J24" s="12">
        <v>15</v>
      </c>
      <c r="K24" s="12">
        <f>_xlfn.LAMBDA(m,n,k,(m*k+2*m*n+n*k)*1000*1000/$N$3/1024/1024/1024/1024/$K$5)(B24*$C$3,$Q$11,$Q$2)</f>
      </c>
      <c r="L24" s="12">
        <v>5</v>
      </c>
      <c r="M24" s="12">
        <f>_xlfn.LAMBDA(m,n,k,(2*m*k+2*m*n+2*n*k)*1000*1000/$N$3/1024/1024/1024/1024/$K$5)(B24*$C$3,$Q$12,$Q$2)</f>
      </c>
      <c r="N24" s="32">
        <f>_xlfn.LAMBDA(seq_len, q_len, bs, seq_len*q_len*bs*2*($Q$12*$Q$11/$N$5 + $Q$12 / $N$7)*1000*1000/1024/1024/1024/1024/$K$6)(A24,$C$3,B24)</f>
      </c>
      <c r="O24" s="32">
        <f>_xlfn.LAMBDA(seq_len, q_len, bs, (q_len*bs*$Q$12*$Q$11 + seq_len * bs * $Q$11 + q_len*bs*$Q$12*4)*1000*1000/1024/1024/1024/1024/$N$3/$K$5)(A24,$C$3,B24)</f>
      </c>
      <c r="P24" s="12">
        <f>_xlfn.LAMBDA(b, m,n,k, 2*b*m*n*k*1000*1000/$N$7/1024/1024/1024/1024/$I$2)($Q$3, B24*$C$3, 128, $Q$7)</f>
      </c>
      <c r="Q24" s="12">
        <f>_xlfn.LAMBDA(b,m,n,k,b*(2*m*k+2*m*n+2*n*k)*1000*1000/$N$3/1024/1024/1024/1024/$K$5)($Q$3, B24*$C$3, 128, $Q$7)</f>
      </c>
      <c r="R24" s="12">
        <v>10</v>
      </c>
      <c r="S24" s="32">
        <f>_xlfn.LAMBDA(seq_len, q_len, bs, seq_len*q_len*bs*2*$Q$3/$F$3*($Q$6 + $Q$7)*1000*1000/1024/1024/1024/1024/$N$7/$K$6)(MIN(A24,$Q$13),$C$3,B24)</f>
      </c>
      <c r="T24" s="32">
        <f>_xlfn.LAMBDA(seq_len, q_len, bs, seq_len*bs*$U$15*($Q$6 + $Q$7)*1000*1000/1024/1024/1024/1024/$N$3/$K$5)(MIN(A24,$Q$13),$C$3,B24)</f>
      </c>
      <c r="U24" s="12">
        <f>_xlfn.LAMBDA(b, m,n,k, 2*b*m*n*k*1000*1000/$N$7/1024/1024/1024/1024/$I$2)($Q$3, B24*$C$3, 128, $Q$7)</f>
      </c>
      <c r="V24" s="12">
        <f>_xlfn.LAMBDA(b,m,n,k,b*(2*m*k+2*m*n+2*n*k)*1000*1000/$N$3/1024/1024/1024/1024/$K$5)($Q$3, B24*$C$3, 128, $Q$7)</f>
      </c>
      <c r="W24" s="12">
        <f>_xlfn.LAMBDA(m,n,k, 2*m*n*k*1000*1000/$N$2/1024/1024/1024/1024/$K$2)(B24*$C$3, $Q$3*128/$F$3, $Q$2)</f>
      </c>
      <c r="X24" s="12">
        <f>_xlfn.LAMBDA(m,n,k,(m*k+2*m*n+n*k)*1000*1000/$N$3/1024/1024/1024/1024/$K$5)(B24*$C$3, $Q$3*128/$F$3, $Q$2)</f>
      </c>
      <c r="Y24" s="12">
        <f>150 + $B24 *$C$3 * 2.3</f>
      </c>
      <c r="Z24" s="12">
        <f>_xlfn.LAMBDA(tp_size, hidden_size, batch_size, 2*batch_size*(tp_size-1)/tp_size*hidden_size*1000*1000/$N$4/1024/1024/1024/$I$6)($F$3, $Q$2,B24*$C$3)</f>
      </c>
      <c r="AA24" s="12">
        <f>_xlfn.LAMBDA(token_size_per_rank, to_nodes,hidden_size, sizeof_dtype, 50 + 4*token_size_per_rank * to_nodes * hidden_size*sizeof_dtype*1000*1000/$N$6/1024/1024/1024/$I$7)(B24*$C$5/$F$3, MIN($F$2,$S$2), $Q$2, 1)</f>
      </c>
      <c r="AB24" s="12">
        <f>_xlfn.LAMBDA(m,n,k, 2*m*n*k*1000*1000/$N$2/1024/1024/1024/1024/$I$3)(C24*$S$2/$F$5,$Q$8*2,$Q$2)</f>
      </c>
      <c r="AC24" s="36">
        <f>_xlfn.LAMBDA(size_of_dtype, experts, ep_size, hidden_size, internal_dim, experts/ep_size*hidden_size*internal_dim*size_of_dtype/$N$3/$K$5/1024/1024/1024/1024*1000*1000)($Y$12,$S$3,$F$5,$Q$2,$Q$8*2)</f>
      </c>
      <c r="AD24" s="12">
        <f>_xlfn.LAMBDA(m,n,k, 2*m*n*k*1000*1000/$N$2/1024/1024/1024/1024/$I$3)(C24*$S$2/$F$5,$Q$2,$Q$8)</f>
      </c>
      <c r="AE24" s="36">
        <f>_xlfn.LAMBDA(size_of_dtype, experts, ep_size, hidden_size, internal_dim, experts/ep_size*hidden_size*internal_dim*size_of_dtype/$N$3/$K$5/1024/1024/1024/1024*1000*1000)($Y$12,$S$3,$F$5,$Q$8, $Q$2)</f>
      </c>
      <c r="AF24" s="12">
        <f>AA24</f>
      </c>
      <c r="AG24" s="12">
        <f>_xlfn.LAMBDA(tp_size, hidden_size, batch_size, batch_size*(tp_size-1)*hidden_size*1000*1000/$N$4/1024/1024/1024/$I$6)($F$3, $Q$2,B24*$C$3)</f>
      </c>
      <c r="AH24" s="32">
        <f>_xlfn.LAMBDA(seq_len, q_len, bs, 2*seq_len*q_len*bs*2*$Q$3/$F$3*($Q$6 + $Q$7)*1000*1000/1024/1024/1024/1024/$N$5/$I$5)(A24,$C$3,B24)</f>
      </c>
      <c r="AI24" s="32">
        <f>_xlfn.LAMBDA(seq_len, q_len, bs, seq_len*bs*($Q$6 + $Q$7)*1000*1000/1024/1024/1024/1024/$N$3/$K$5)(A24,$C$3,B24)</f>
      </c>
      <c r="AJ24" s="12">
        <f>MAX(D24:E24)+MAX(F24:G24)+MAX(H24:I24)+MAX(J24:K24)+MAX(L24:M24)+MAX(N24:O24)+MAX(P24:Q24)+MAX(R24:S24)+MAX(S24:T24)+MAX(U24:V24)+MAX(W24:X24)+MAX(AB24:AC24)+MAX(AD24:AE24)+SUM(Y24:AA24)+SUM(AF24:AG24)</f>
      </c>
      <c r="AK24" s="35">
        <f>AJ24-MAX(J24:K24)-MAX(L24:M24)-MAX(N24:O24)-MAX(H24:I24)-MAX(S24:T24)+MAX(AH24:AI24)-0.05*AJ24</f>
      </c>
      <c r="AL24" s="34">
        <f>(MAX(AB24:AC24)+MAX(AD24:AE24))/AJ24</f>
      </c>
      <c r="AM24" s="33">
        <f>(MAX(AB24:AC24)+MAX(AD24:AE24))/AK24</f>
      </c>
      <c r="AN24" s="34">
        <f>MAX(S24:T24)/AJ24</f>
      </c>
      <c r="AO24" s="33">
        <f>MAX(AH24:AI24)/AK24</f>
      </c>
      <c r="AP24" s="12">
        <f>AJ24*$Q$9/1000</f>
      </c>
      <c r="AQ24" s="12">
        <f>AK24*$Q$9/1000</f>
      </c>
      <c r="AR24" s="12">
        <f>(AP24+2)/$C$5</f>
      </c>
      <c r="AS24" s="12">
        <f>(AQ24+2)/$C$5</f>
      </c>
      <c r="AT24" s="12">
        <f>B24*1000/AR24/$F$3</f>
      </c>
      <c r="AU24" s="12">
        <f>B24*1000/AS24/$F$3</f>
      </c>
      <c r="AV24" s="13">
        <f>1000000*$N$8/24/60/60/AT24</f>
      </c>
      <c r="AW24" s="13">
        <f>1000000*$N$8/24/60/60/AU24</f>
      </c>
      <c r="AX24" s="13">
        <f>AV24*$C$6</f>
      </c>
      <c r="AY24" s="13">
        <f>AW24*$C$6</f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</row>
    <row r="25">
      <c r="A25" s="4">
        <v>4096</v>
      </c>
      <c r="B25" s="4">
        <v>15</v>
      </c>
      <c r="C25" s="4">
        <f>B25*$F$4*$C$3</f>
      </c>
      <c r="D25" s="12">
        <v>10</v>
      </c>
      <c r="E25" s="12">
        <f>_xlfn.LAMBDA(m,n,k,(m*k+2*m*n+n*k)*1000*1000/$N$3/1024/1024/1024/1024/$K$5)(B25*$C$3,$Q$10,$Q$2)</f>
      </c>
      <c r="F25" s="12">
        <f>_xlfn.LAMBDA(m,n,k, 2*m*n*k*1000*1000/$N$2/1024/1024/1024/1024/$I$2)(B25*$C$3, $Q$3*(128+64)/$F$3, $Q$10)</f>
      </c>
      <c r="G25" s="12">
        <f>_xlfn.LAMBDA(m,n,k,(m*k+2*m*n+n*k)*1000*1000/$N$3/1024/1024/1024/1024/$K$5)(B25*$C$3, $Q$3*(128+64)/$F$3, $Q$10)</f>
      </c>
      <c r="H25" s="12">
        <v>15</v>
      </c>
      <c r="I25" s="12">
        <f>_xlfn.LAMBDA(m,n,k,(m*k+2*m*n+n*k)*1000*1000/$N$3/1024/1024/1024/1024/$K$5)(B25*$C$3,$Q$11*$Q$12,$Q$10)</f>
      </c>
      <c r="J25" s="12">
        <v>15</v>
      </c>
      <c r="K25" s="12">
        <f>_xlfn.LAMBDA(m,n,k,(m*k+2*m*n+n*k)*1000*1000/$N$3/1024/1024/1024/1024/$K$5)(B25*$C$3,$Q$11,$Q$2)</f>
      </c>
      <c r="L25" s="12">
        <v>5</v>
      </c>
      <c r="M25" s="12">
        <f>_xlfn.LAMBDA(m,n,k,(2*m*k+2*m*n+2*n*k)*1000*1000/$N$3/1024/1024/1024/1024/$K$5)(B25*$C$3,$Q$12,$Q$2)</f>
      </c>
      <c r="N25" s="32">
        <f>_xlfn.LAMBDA(seq_len, q_len, bs, seq_len*q_len*bs*2*($Q$12*$Q$11/$N$5 + $Q$12 / $N$7)*1000*1000/1024/1024/1024/1024/$K$6)(A25,$C$3,B25)</f>
      </c>
      <c r="O25" s="32">
        <f>_xlfn.LAMBDA(seq_len, q_len, bs, (q_len*bs*$Q$12*$Q$11 + seq_len * bs * $Q$11 + q_len*bs*$Q$12*4)*1000*1000/1024/1024/1024/1024/$N$3/$K$5)(A25,$C$3,B25)</f>
      </c>
      <c r="P25" s="12">
        <f>_xlfn.LAMBDA(b, m,n,k, 2*b*m*n*k*1000*1000/$N$7/1024/1024/1024/1024/$I$2)($Q$3, B25*$C$3, 128, $Q$7)</f>
      </c>
      <c r="Q25" s="12">
        <f>_xlfn.LAMBDA(b,m,n,k,b*(2*m*k+2*m*n+2*n*k)*1000*1000/$N$3/1024/1024/1024/1024/$K$5)($Q$3, B25*$C$3, 128, $Q$7)</f>
      </c>
      <c r="R25" s="12">
        <v>10</v>
      </c>
      <c r="S25" s="32">
        <f>_xlfn.LAMBDA(seq_len, q_len, bs, seq_len*q_len*bs*2*$Q$3/$F$3*($Q$6 + $Q$7)*1000*1000/1024/1024/1024/1024/$N$7/$K$6)(MIN(A25,$Q$13),$C$3,B25)</f>
      </c>
      <c r="T25" s="32">
        <f>_xlfn.LAMBDA(seq_len, q_len, bs, seq_len*bs*$U$15*($Q$6 + $Q$7)*1000*1000/1024/1024/1024/1024/$N$3/$K$5)(MIN(A25,$Q$13),$C$3,B25)</f>
      </c>
      <c r="U25" s="12">
        <f>_xlfn.LAMBDA(b, m,n,k, 2*b*m*n*k*1000*1000/$N$7/1024/1024/1024/1024/$I$2)($Q$3, B25*$C$3, 128, $Q$7)</f>
      </c>
      <c r="V25" s="12">
        <f>_xlfn.LAMBDA(b,m,n,k,b*(2*m*k+2*m*n+2*n*k)*1000*1000/$N$3/1024/1024/1024/1024/$K$5)($Q$3, B25*$C$3, 128, $Q$7)</f>
      </c>
      <c r="W25" s="12">
        <f>_xlfn.LAMBDA(m,n,k, 2*m*n*k*1000*1000/$N$2/1024/1024/1024/1024/$K$2)(B25*$C$3, $Q$3*128/$F$3, $Q$2)</f>
      </c>
      <c r="X25" s="12">
        <f>_xlfn.LAMBDA(m,n,k,(m*k+2*m*n+n*k)*1000*1000/$N$3/1024/1024/1024/1024/$K$5)(B25*$C$3, $Q$3*128/$F$3, $Q$2)</f>
      </c>
      <c r="Y25" s="12">
        <f>150 + $B25 *$C$3 * 2.3</f>
      </c>
      <c r="Z25" s="12">
        <f>_xlfn.LAMBDA(tp_size, hidden_size, batch_size, 2*batch_size*(tp_size-1)/tp_size*hidden_size*1000*1000/$N$4/1024/1024/1024/$I$6)($F$3, $Q$2,B25*$C$3)</f>
      </c>
      <c r="AA25" s="12">
        <f>_xlfn.LAMBDA(token_size_per_rank, to_nodes,hidden_size, sizeof_dtype, 50 + 4*token_size_per_rank * to_nodes * hidden_size*sizeof_dtype*1000*1000/$N$6/1024/1024/1024/$I$7)(B25*$C$5/$F$3, MIN($F$2,$S$2), $Q$2, 1)</f>
      </c>
      <c r="AB25" s="12">
        <f>_xlfn.LAMBDA(m,n,k, 2*m*n*k*1000*1000/$N$2/1024/1024/1024/1024/$I$3)(C25*$S$2/$F$5,$Q$8*2,$Q$2)</f>
      </c>
      <c r="AC25" s="36">
        <f>_xlfn.LAMBDA(size_of_dtype, experts, ep_size, hidden_size, internal_dim, experts/ep_size*hidden_size*internal_dim*size_of_dtype/$N$3/$K$5/1024/1024/1024/1024*1000*1000)($Y$12,$S$3,$F$5,$Q$2,$Q$8*2)</f>
      </c>
      <c r="AD25" s="12">
        <f>_xlfn.LAMBDA(m,n,k, 2*m*n*k*1000*1000/$N$2/1024/1024/1024/1024/$I$3)(C25*$S$2/$F$5,$Q$2,$Q$8)</f>
      </c>
      <c r="AE25" s="36">
        <f>_xlfn.LAMBDA(size_of_dtype, experts, ep_size, hidden_size, internal_dim, experts/ep_size*hidden_size*internal_dim*size_of_dtype/$N$3/$K$5/1024/1024/1024/1024*1000*1000)($Y$12,$S$3,$F$5,$Q$8, $Q$2)</f>
      </c>
      <c r="AF25" s="12">
        <f>AA25</f>
      </c>
      <c r="AG25" s="12">
        <f>_xlfn.LAMBDA(tp_size, hidden_size, batch_size, batch_size*(tp_size-1)*hidden_size*1000*1000/$N$4/1024/1024/1024/$I$6)($F$3, $Q$2,B25*$C$3)</f>
      </c>
      <c r="AH25" s="32">
        <f>_xlfn.LAMBDA(seq_len, q_len, bs, 2*seq_len*q_len*bs*2*$Q$3/$F$3*($Q$6 + $Q$7)*1000*1000/1024/1024/1024/1024/$N$5/$I$5)(A25,$C$3,B25)</f>
      </c>
      <c r="AI25" s="32">
        <f>_xlfn.LAMBDA(seq_len, q_len, bs, seq_len*bs*($Q$6 + $Q$7)*1000*1000/1024/1024/1024/1024/$N$3/$K$5)(A25,$C$3,B25)</f>
      </c>
      <c r="AJ25" s="12">
        <f>MAX(D25:E25)+MAX(F25:G25)+MAX(H25:I25)+MAX(J25:K25)+MAX(L25:M25)+MAX(N25:O25)+MAX(P25:Q25)+MAX(R25:S25)+MAX(S25:T25)+MAX(U25:V25)+MAX(W25:X25)+MAX(AB25:AC25)+MAX(AD25:AE25)+SUM(Y25:AA25)+SUM(AF25:AG25)</f>
      </c>
      <c r="AK25" s="35">
        <f>AJ25-MAX(J25:K25)-MAX(L25:M25)-MAX(N25:O25)-MAX(H25:I25)-MAX(S25:T25)+MAX(AH25:AI25)-0.05*AJ25</f>
      </c>
      <c r="AL25" s="34">
        <f>(MAX(AB25:AC25)+MAX(AD25:AE25))/AJ25</f>
      </c>
      <c r="AM25" s="33">
        <f>(MAX(AB25:AC25)+MAX(AD25:AE25))/AK25</f>
      </c>
      <c r="AN25" s="34">
        <f>MAX(S25:T25)/AJ25</f>
      </c>
      <c r="AO25" s="33">
        <f>MAX(AH25:AI25)/AK25</f>
      </c>
      <c r="AP25" s="12">
        <f>AJ25*$Q$9/1000</f>
      </c>
      <c r="AQ25" s="12">
        <f>AK25*$Q$9/1000</f>
      </c>
      <c r="AR25" s="12">
        <f>(AP25+2)/$C$5</f>
      </c>
      <c r="AS25" s="12">
        <f>(AQ25+2)/$C$5</f>
      </c>
      <c r="AT25" s="12">
        <f>B25*1000/AR25/$F$3</f>
      </c>
      <c r="AU25" s="12">
        <f>B25*1000/AS25/$F$3</f>
      </c>
      <c r="AV25" s="13">
        <f>1000000*$N$8/24/60/60/AT25</f>
      </c>
      <c r="AW25" s="13">
        <f>1000000*$N$8/24/60/60/AU25</f>
      </c>
      <c r="AX25" s="13">
        <f>AV25*$C$6</f>
      </c>
      <c r="AY25" s="13">
        <f>AW25*$C$6</f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</row>
    <row r="26">
      <c r="A26" s="4">
        <v>8192</v>
      </c>
      <c r="B26" s="4">
        <v>15</v>
      </c>
      <c r="C26" s="4">
        <f>B26*$F$4*$C$3</f>
      </c>
      <c r="D26" s="12">
        <v>10</v>
      </c>
      <c r="E26" s="12">
        <f>_xlfn.LAMBDA(m,n,k,(m*k+2*m*n+n*k)*1000*1000/$N$3/1024/1024/1024/1024/$K$5)(B26*$C$3,$Q$10,$Q$2)</f>
      </c>
      <c r="F26" s="12">
        <f>_xlfn.LAMBDA(m,n,k, 2*m*n*k*1000*1000/$N$2/1024/1024/1024/1024/$I$2)(B26*$C$3, $Q$3*(128+64)/$F$3, $Q$10)</f>
      </c>
      <c r="G26" s="12">
        <f>_xlfn.LAMBDA(m,n,k,(m*k+2*m*n+n*k)*1000*1000/$N$3/1024/1024/1024/1024/$K$5)(B26*$C$3, $Q$3*(128+64)/$F$3, $Q$10)</f>
      </c>
      <c r="H26" s="12">
        <v>15</v>
      </c>
      <c r="I26" s="12">
        <f>_xlfn.LAMBDA(m,n,k,(m*k+2*m*n+n*k)*1000*1000/$N$3/1024/1024/1024/1024/$K$5)(B26*$C$3,$Q$11*$Q$12,$Q$10)</f>
      </c>
      <c r="J26" s="12">
        <v>15</v>
      </c>
      <c r="K26" s="12">
        <f>_xlfn.LAMBDA(m,n,k,(m*k+2*m*n+n*k)*1000*1000/$N$3/1024/1024/1024/1024/$K$5)(B26*$C$3,$Q$11,$Q$2)</f>
      </c>
      <c r="L26" s="12">
        <v>5</v>
      </c>
      <c r="M26" s="12">
        <f>_xlfn.LAMBDA(m,n,k,(2*m*k+2*m*n+2*n*k)*1000*1000/$N$3/1024/1024/1024/1024/$K$5)(B26*$C$3,$Q$12,$Q$2)</f>
      </c>
      <c r="N26" s="32">
        <f>_xlfn.LAMBDA(seq_len, q_len, bs, seq_len*q_len*bs*2*($Q$12*$Q$11/$N$5 + $Q$12 / $N$7)*1000*1000/1024/1024/1024/1024/$K$6)(A26,$C$3,B26)</f>
      </c>
      <c r="O26" s="32">
        <f>_xlfn.LAMBDA(seq_len, q_len, bs, (q_len*bs*$Q$12*$Q$11 + seq_len * bs * $Q$11 + q_len*bs*$Q$12*4)*1000*1000/1024/1024/1024/1024/$N$3/$K$5)(A26,$C$3,B26)</f>
      </c>
      <c r="P26" s="12">
        <f>_xlfn.LAMBDA(b, m,n,k, 2*b*m*n*k*1000*1000/$N$7/1024/1024/1024/1024/$I$2)($Q$3, B26*$C$3, 128, $Q$7)</f>
      </c>
      <c r="Q26" s="12">
        <f>_xlfn.LAMBDA(b,m,n,k,b*(2*m*k+2*m*n+2*n*k)*1000*1000/$N$3/1024/1024/1024/1024/$K$5)($Q$3, B26*$C$3, 128, $Q$7)</f>
      </c>
      <c r="R26" s="12">
        <v>10</v>
      </c>
      <c r="S26" s="32">
        <f>_xlfn.LAMBDA(seq_len, q_len, bs, seq_len*q_len*bs*2*$Q$3/$F$3*($Q$6 + $Q$7)*1000*1000/1024/1024/1024/1024/$N$7/$K$6)(MIN(A26,$Q$13),$C$3,B26)</f>
      </c>
      <c r="T26" s="32">
        <f>_xlfn.LAMBDA(seq_len, q_len, bs, seq_len*bs*$U$15*($Q$6 + $Q$7)*1000*1000/1024/1024/1024/1024/$N$3/$K$5)(MIN(A26,$Q$13),$C$3,B26)</f>
      </c>
      <c r="U26" s="12">
        <f>_xlfn.LAMBDA(b, m,n,k, 2*b*m*n*k*1000*1000/$N$7/1024/1024/1024/1024/$I$2)($Q$3, B26*$C$3, 128, $Q$7)</f>
      </c>
      <c r="V26" s="12">
        <f>_xlfn.LAMBDA(b,m,n,k,b*(2*m*k+2*m*n+2*n*k)*1000*1000/$N$3/1024/1024/1024/1024/$K$5)($Q$3, B26*$C$3, 128, $Q$7)</f>
      </c>
      <c r="W26" s="12">
        <f>_xlfn.LAMBDA(m,n,k, 2*m*n*k*1000*1000/$N$2/1024/1024/1024/1024/$K$2)(B26*$C$3, $Q$3*128/$F$3, $Q$2)</f>
      </c>
      <c r="X26" s="12">
        <f>_xlfn.LAMBDA(m,n,k,(m*k+2*m*n+n*k)*1000*1000/$N$3/1024/1024/1024/1024/$K$5)(B26*$C$3, $Q$3*128/$F$3, $Q$2)</f>
      </c>
      <c r="Y26" s="12">
        <f>150 + $B26 *$C$3 * 2.3</f>
      </c>
      <c r="Z26" s="12">
        <f>_xlfn.LAMBDA(tp_size, hidden_size, batch_size, 2*batch_size*(tp_size-1)/tp_size*hidden_size*1000*1000/$N$4/1024/1024/1024/$I$6)($F$3, $Q$2,B26*$C$3)</f>
      </c>
      <c r="AA26" s="12">
        <f>_xlfn.LAMBDA(token_size_per_rank, to_nodes,hidden_size, sizeof_dtype, 50 + 4*token_size_per_rank * to_nodes * hidden_size*sizeof_dtype*1000*1000/$N$6/1024/1024/1024/$I$7)(B26*$C$5/$F$3, MIN($F$2,$S$2), $Q$2, 1)</f>
      </c>
      <c r="AB26" s="12">
        <f>_xlfn.LAMBDA(m,n,k, 2*m*n*k*1000*1000/$N$2/1024/1024/1024/1024/$I$3)(C26*$S$2/$F$5,$Q$8*2,$Q$2)</f>
      </c>
      <c r="AC26" s="36">
        <f>_xlfn.LAMBDA(size_of_dtype, experts, ep_size, hidden_size, internal_dim, experts/ep_size*hidden_size*internal_dim*size_of_dtype/$N$3/$K$5/1024/1024/1024/1024*1000*1000)($Y$12,$S$3,$F$5,$Q$2,$Q$8*2)</f>
      </c>
      <c r="AD26" s="12">
        <f>_xlfn.LAMBDA(m,n,k, 2*m*n*k*1000*1000/$N$2/1024/1024/1024/1024/$I$3)(C26*$S$2/$F$5,$Q$2,$Q$8)</f>
      </c>
      <c r="AE26" s="36">
        <f>_xlfn.LAMBDA(size_of_dtype, experts, ep_size, hidden_size, internal_dim, experts/ep_size*hidden_size*internal_dim*size_of_dtype/$N$3/$K$5/1024/1024/1024/1024*1000*1000)($Y$12,$S$3,$F$5,$Q$8, $Q$2)</f>
      </c>
      <c r="AF26" s="12">
        <f>AA26</f>
      </c>
      <c r="AG26" s="12">
        <f>_xlfn.LAMBDA(tp_size, hidden_size, batch_size, batch_size*(tp_size-1)*hidden_size*1000*1000/$N$4/1024/1024/1024/$I$6)($F$3, $Q$2,B26*$C$3)</f>
      </c>
      <c r="AH26" s="32">
        <f>_xlfn.LAMBDA(seq_len, q_len, bs, 2*seq_len*q_len*bs*2*$Q$3/$F$3*($Q$6 + $Q$7)*1000*1000/1024/1024/1024/1024/$N$5/$I$5)(A26,$C$3,B26)</f>
      </c>
      <c r="AI26" s="32">
        <f>_xlfn.LAMBDA(seq_len, q_len, bs, seq_len*bs*($Q$6 + $Q$7)*1000*1000/1024/1024/1024/1024/$N$3/$K$5)(A26,$C$3,B26)</f>
      </c>
      <c r="AJ26" s="12">
        <f>MAX(D26:E26)+MAX(F26:G26)+MAX(H26:I26)+MAX(J26:K26)+MAX(L26:M26)+MAX(N26:O26)+MAX(P26:Q26)+MAX(R26:S26)+MAX(S26:T26)+MAX(U26:V26)+MAX(W26:X26)+MAX(AB26:AC26)+MAX(AD26:AE26)+SUM(Y26:AA26)+SUM(AF26:AG26)</f>
      </c>
      <c r="AK26" s="35">
        <f>AJ26-MAX(J26:K26)-MAX(L26:M26)-MAX(N26:O26)-MAX(H26:I26)-MAX(S26:T26)+MAX(AH26:AI26)-0.05*AJ26</f>
      </c>
      <c r="AL26" s="34">
        <f>(MAX(AB26:AC26)+MAX(AD26:AE26))/AJ26</f>
      </c>
      <c r="AM26" s="33">
        <f>(MAX(AB26:AC26)+MAX(AD26:AE26))/AK26</f>
      </c>
      <c r="AN26" s="34">
        <f>MAX(S26:T26)/AJ26</f>
      </c>
      <c r="AO26" s="33">
        <f>MAX(AH26:AI26)/AK26</f>
      </c>
      <c r="AP26" s="12">
        <f>AJ26*$Q$9/1000</f>
      </c>
      <c r="AQ26" s="12">
        <f>AK26*$Q$9/1000</f>
      </c>
      <c r="AR26" s="12">
        <f>(AP26+2)/$C$5</f>
      </c>
      <c r="AS26" s="12">
        <f>(AQ26+2)/$C$5</f>
      </c>
      <c r="AT26" s="12">
        <f>B26*1000/AR26/$F$3</f>
      </c>
      <c r="AU26" s="12">
        <f>B26*1000/AS26/$F$3</f>
      </c>
      <c r="AV26" s="13">
        <f>1000000*$N$8/24/60/60/AT26</f>
      </c>
      <c r="AW26" s="13">
        <f>1000000*$N$8/24/60/60/AU26</f>
      </c>
      <c r="AX26" s="13">
        <f>AV26*$C$6</f>
      </c>
      <c r="AY26" s="13">
        <f>AW26*$C$6</f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</row>
    <row r="27">
      <c r="A27" s="4">
        <v>10240</v>
      </c>
      <c r="B27" s="4">
        <v>15</v>
      </c>
      <c r="C27" s="4">
        <f>B27*$F$4*$C$3</f>
      </c>
      <c r="D27" s="12">
        <v>10</v>
      </c>
      <c r="E27" s="12">
        <f>_xlfn.LAMBDA(m,n,k,(m*k+2*m*n+n*k)*1000*1000/$N$3/1024/1024/1024/1024/$K$5)(B27*$C$3,$Q$10,$Q$2)</f>
      </c>
      <c r="F27" s="12">
        <f>_xlfn.LAMBDA(m,n,k, 2*m*n*k*1000*1000/$N$2/1024/1024/1024/1024/$I$2)(B27*$C$3, $Q$3*(128+64)/$F$3, $Q$10)</f>
      </c>
      <c r="G27" s="12">
        <f>_xlfn.LAMBDA(m,n,k,(m*k+2*m*n+n*k)*1000*1000/$N$3/1024/1024/1024/1024/$K$5)(B27*$C$3, $Q$3*(128+64)/$F$3, $Q$10)</f>
      </c>
      <c r="H27" s="12">
        <v>15</v>
      </c>
      <c r="I27" s="12">
        <f>_xlfn.LAMBDA(m,n,k,(m*k+2*m*n+n*k)*1000*1000/$N$3/1024/1024/1024/1024/$K$5)(B27*$C$3,$Q$11*$Q$12,$Q$10)</f>
      </c>
      <c r="J27" s="12">
        <v>15</v>
      </c>
      <c r="K27" s="12">
        <f>_xlfn.LAMBDA(m,n,k,(m*k+2*m*n+n*k)*1000*1000/$N$3/1024/1024/1024/1024/$K$5)(B27*$C$3,$Q$11,$Q$2)</f>
      </c>
      <c r="L27" s="12">
        <v>5</v>
      </c>
      <c r="M27" s="12">
        <f>_xlfn.LAMBDA(m,n,k,(2*m*k+2*m*n+2*n*k)*1000*1000/$N$3/1024/1024/1024/1024/$K$5)(B27*$C$3,$Q$12,$Q$2)</f>
      </c>
      <c r="N27" s="32">
        <f>_xlfn.LAMBDA(seq_len, q_len, bs, seq_len*q_len*bs*2*($Q$12*$Q$11/$N$5 + $Q$12 / $N$7)*1000*1000/1024/1024/1024/1024/$K$6)(A27,$C$3,B27)</f>
      </c>
      <c r="O27" s="32">
        <f>_xlfn.LAMBDA(seq_len, q_len, bs, (q_len*bs*$Q$12*$Q$11 + seq_len * bs * $Q$11 + q_len*bs*$Q$12*4)*1000*1000/1024/1024/1024/1024/$N$3/$K$5)(A27,$C$3,B27)</f>
      </c>
      <c r="P27" s="12">
        <f>_xlfn.LAMBDA(b, m,n,k, 2*b*m*n*k*1000*1000/$N$7/1024/1024/1024/1024/$I$2)($Q$3, B27*$C$3, 128, $Q$7)</f>
      </c>
      <c r="Q27" s="12">
        <f>_xlfn.LAMBDA(b,m,n,k,b*(2*m*k+2*m*n+2*n*k)*1000*1000/$N$3/1024/1024/1024/1024/$K$5)($Q$3, B27*$C$3, 128, $Q$7)</f>
      </c>
      <c r="R27" s="12">
        <v>10</v>
      </c>
      <c r="S27" s="32">
        <f>_xlfn.LAMBDA(seq_len, q_len, bs, seq_len*q_len*bs*2*$Q$3/$F$3*($Q$6 + $Q$7)*1000*1000/1024/1024/1024/1024/$N$7/$K$6)(MIN(A27,$Q$13),$C$3,B27)</f>
      </c>
      <c r="T27" s="32">
        <f>_xlfn.LAMBDA(seq_len, q_len, bs, seq_len*bs*$U$15*($Q$6 + $Q$7)*1000*1000/1024/1024/1024/1024/$N$3/$K$5)(MIN(A27,$Q$13),$C$3,B27)</f>
      </c>
      <c r="U27" s="12">
        <f>_xlfn.LAMBDA(b, m,n,k, 2*b*m*n*k*1000*1000/$N$7/1024/1024/1024/1024/$I$2)($Q$3, B27*$C$3, 128, $Q$7)</f>
      </c>
      <c r="V27" s="12">
        <f>_xlfn.LAMBDA(b,m,n,k,b*(2*m*k+2*m*n+2*n*k)*1000*1000/$N$3/1024/1024/1024/1024/$K$5)($Q$3, B27*$C$3, 128, $Q$7)</f>
      </c>
      <c r="W27" s="12">
        <f>_xlfn.LAMBDA(m,n,k, 2*m*n*k*1000*1000/$N$2/1024/1024/1024/1024/$K$2)(B27*$C$3, $Q$3*128/$F$3, $Q$2)</f>
      </c>
      <c r="X27" s="12">
        <f>_xlfn.LAMBDA(m,n,k,(m*k+2*m*n+n*k)*1000*1000/$N$3/1024/1024/1024/1024/$K$5)(B27*$C$3, $Q$3*128/$F$3, $Q$2)</f>
      </c>
      <c r="Y27" s="12">
        <f>150 + $B27 *$C$3 * 2.3</f>
      </c>
      <c r="Z27" s="12">
        <f>_xlfn.LAMBDA(tp_size, hidden_size, batch_size, 2*batch_size*(tp_size-1)/tp_size*hidden_size*1000*1000/$N$4/1024/1024/1024/$I$6)($F$3, $Q$2,B27*$C$3)</f>
      </c>
      <c r="AA27" s="12">
        <f>_xlfn.LAMBDA(token_size_per_rank, to_nodes,hidden_size, sizeof_dtype, 50 + 4*token_size_per_rank * to_nodes * hidden_size*sizeof_dtype*1000*1000/$N$6/1024/1024/1024/$I$7)(B27*$C$5/$F$3, MIN($F$2,$S$2), $Q$2, 1)</f>
      </c>
      <c r="AB27" s="12">
        <f>_xlfn.LAMBDA(m,n,k, 2*m*n*k*1000*1000/$N$2/1024/1024/1024/1024/$I$3)(C27*$S$2/$F$5,$Q$8*2,$Q$2)</f>
      </c>
      <c r="AC27" s="36">
        <f>_xlfn.LAMBDA(size_of_dtype, experts, ep_size, hidden_size, internal_dim, experts/ep_size*hidden_size*internal_dim*size_of_dtype/$N$3/$K$5/1024/1024/1024/1024*1000*1000)($Y$12,$S$3,$F$5,$Q$2,$Q$8*2)</f>
      </c>
      <c r="AD27" s="12">
        <f>_xlfn.LAMBDA(m,n,k, 2*m*n*k*1000*1000/$N$2/1024/1024/1024/1024/$I$3)(C27*$S$2/$F$5,$Q$2,$Q$8)</f>
      </c>
      <c r="AE27" s="36">
        <f>_xlfn.LAMBDA(size_of_dtype, experts, ep_size, hidden_size, internal_dim, experts/ep_size*hidden_size*internal_dim*size_of_dtype/$N$3/$K$5/1024/1024/1024/1024*1000*1000)($Y$12,$S$3,$F$5,$Q$8, $Q$2)</f>
      </c>
      <c r="AF27" s="12">
        <f>AA27</f>
      </c>
      <c r="AG27" s="12">
        <f>_xlfn.LAMBDA(tp_size, hidden_size, batch_size, batch_size*(tp_size-1)*hidden_size*1000*1000/$N$4/1024/1024/1024/$I$6)($F$3, $Q$2,B27*$C$3)</f>
      </c>
      <c r="AH27" s="32">
        <f>_xlfn.LAMBDA(seq_len, q_len, bs, 2*seq_len*q_len*bs*2*$Q$3/$F$3*($Q$6 + $Q$7)*1000*1000/1024/1024/1024/1024/$N$5/$I$5)(A27,$C$3,B27)</f>
      </c>
      <c r="AI27" s="32">
        <f>_xlfn.LAMBDA(seq_len, q_len, bs, seq_len*bs*($Q$6 + $Q$7)*1000*1000/1024/1024/1024/1024/$N$3/$K$5)(A27,$C$3,B27)</f>
      </c>
      <c r="AJ27" s="12">
        <f>MAX(D27:E27)+MAX(F27:G27)+MAX(H27:I27)+MAX(J27:K27)+MAX(L27:M27)+MAX(N27:O27)+MAX(P27:Q27)+MAX(R27:S27)+MAX(S27:T27)+MAX(U27:V27)+MAX(W27:X27)+MAX(AB27:AC27)+MAX(AD27:AE27)+SUM(Y27:AA27)+SUM(AF27:AG27)</f>
      </c>
      <c r="AK27" s="35">
        <f>AJ27-MAX(J27:K27)-MAX(L27:M27)-MAX(N27:O27)-MAX(H27:I27)-MAX(S27:T27)+MAX(AH27:AI27)-0.05*AJ27</f>
      </c>
      <c r="AL27" s="34">
        <f>(MAX(AB27:AC27)+MAX(AD27:AE27))/AJ27</f>
      </c>
      <c r="AM27" s="33">
        <f>(MAX(AB27:AC27)+MAX(AD27:AE27))/AK27</f>
      </c>
      <c r="AN27" s="34">
        <f>MAX(S27:T27)/AJ27</f>
      </c>
      <c r="AO27" s="33">
        <f>MAX(AH27:AI27)/AK27</f>
      </c>
      <c r="AP27" s="12">
        <f>AJ27*$Q$9/1000</f>
      </c>
      <c r="AQ27" s="12">
        <f>AK27*$Q$9/1000</f>
      </c>
      <c r="AR27" s="12">
        <f>(AP27+2)/$C$5</f>
      </c>
      <c r="AS27" s="12">
        <f>(AQ27+2)/$C$5</f>
      </c>
      <c r="AT27" s="12">
        <f>B27*1000/AR27/$F$3</f>
      </c>
      <c r="AU27" s="12">
        <f>B27*1000/AS27/$F$3</f>
      </c>
      <c r="AV27" s="13">
        <f>1000000*$N$8/24/60/60/AT27</f>
      </c>
      <c r="AW27" s="13">
        <f>1000000*$N$8/24/60/60/AU27</f>
      </c>
      <c r="AX27" s="13">
        <f>AV27*$C$6</f>
      </c>
      <c r="AY27" s="13">
        <f>AW27*$C$6</f>
      </c>
      <c r="AZ27" s="13"/>
      <c r="BA27" s="13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>
      <c r="A28" s="4">
        <v>16384</v>
      </c>
      <c r="B28" s="4">
        <v>15</v>
      </c>
      <c r="C28" s="4">
        <f>B28*$F$4*$C$3</f>
      </c>
      <c r="D28" s="12">
        <v>10</v>
      </c>
      <c r="E28" s="12">
        <f>_xlfn.LAMBDA(m,n,k,(m*k+2*m*n+n*k)*1000*1000/$N$3/1024/1024/1024/1024/$K$5)(B28*$C$3,$Q$10,$Q$2)</f>
      </c>
      <c r="F28" s="12">
        <f>_xlfn.LAMBDA(m,n,k, 2*m*n*k*1000*1000/$N$2/1024/1024/1024/1024/$I$2)(B28*$C$3, $Q$3*(128+64)/$F$3, $Q$10)</f>
      </c>
      <c r="G28" s="12">
        <f>_xlfn.LAMBDA(m,n,k,(m*k+2*m*n+n*k)*1000*1000/$N$3/1024/1024/1024/1024/$K$5)(B28*$C$3, $Q$3*(128+64)/$F$3, $Q$10)</f>
      </c>
      <c r="H28" s="12">
        <v>15</v>
      </c>
      <c r="I28" s="12">
        <f>_xlfn.LAMBDA(m,n,k,(m*k+2*m*n+n*k)*1000*1000/$N$3/1024/1024/1024/1024/$K$5)(B28*$C$3,$Q$11*$Q$12,$Q$10)</f>
      </c>
      <c r="J28" s="12">
        <v>15</v>
      </c>
      <c r="K28" s="12">
        <f>_xlfn.LAMBDA(m,n,k,(m*k+2*m*n+n*k)*1000*1000/$N$3/1024/1024/1024/1024/$K$5)(B28*$C$3,$Q$11,$Q$2)</f>
      </c>
      <c r="L28" s="12">
        <v>5</v>
      </c>
      <c r="M28" s="12">
        <f>_xlfn.LAMBDA(m,n,k,(2*m*k+2*m*n+2*n*k)*1000*1000/$N$3/1024/1024/1024/1024/$K$5)(B28*$C$3,$Q$12,$Q$2)</f>
      </c>
      <c r="N28" s="32">
        <f>_xlfn.LAMBDA(seq_len, q_len, bs, seq_len*q_len*bs*2*($Q$12*$Q$11/$N$5 + $Q$12 / $N$7)*1000*1000/1024/1024/1024/1024/$K$6)(A28,$C$3,B28)</f>
      </c>
      <c r="O28" s="32">
        <f>_xlfn.LAMBDA(seq_len, q_len, bs, (q_len*bs*$Q$12*$Q$11 + seq_len * bs * $Q$11 + q_len*bs*$Q$12*4)*1000*1000/1024/1024/1024/1024/$N$3/$K$5)(A28,$C$3,B28)</f>
      </c>
      <c r="P28" s="12">
        <f>_xlfn.LAMBDA(b, m,n,k, 2*b*m*n*k*1000*1000/$N$7/1024/1024/1024/1024/$I$2)($Q$3, B28*$C$3, 128, $Q$7)</f>
      </c>
      <c r="Q28" s="12">
        <f>_xlfn.LAMBDA(b,m,n,k,b*(2*m*k+2*m*n+2*n*k)*1000*1000/$N$3/1024/1024/1024/1024/$K$5)($Q$3, B28*$C$3, 128, $Q$7)</f>
      </c>
      <c r="R28" s="12">
        <v>10</v>
      </c>
      <c r="S28" s="32">
        <f>_xlfn.LAMBDA(seq_len, q_len, bs, seq_len*q_len*bs*2*$Q$3/$F$3*($Q$6 + $Q$7)*1000*1000/1024/1024/1024/1024/$N$7/$K$6)(MIN(A28,$Q$13),$C$3,B28)</f>
      </c>
      <c r="T28" s="32">
        <f>_xlfn.LAMBDA(seq_len, q_len, bs, seq_len*bs*$U$15*($Q$6 + $Q$7)*1000*1000/1024/1024/1024/1024/$N$3/$K$5)(MIN(A28,$Q$13),$C$3,B28)</f>
      </c>
      <c r="U28" s="12">
        <f>_xlfn.LAMBDA(b, m,n,k, 2*b*m*n*k*1000*1000/$N$7/1024/1024/1024/1024/$I$2)($Q$3, B28*$C$3, 128, $Q$7)</f>
      </c>
      <c r="V28" s="12">
        <f>_xlfn.LAMBDA(b,m,n,k,b*(2*m*k+2*m*n+2*n*k)*1000*1000/$N$3/1024/1024/1024/1024/$K$5)($Q$3, B28*$C$3, 128, $Q$7)</f>
      </c>
      <c r="W28" s="12">
        <f>_xlfn.LAMBDA(m,n,k, 2*m*n*k*1000*1000/$N$2/1024/1024/1024/1024/$K$2)(B28*$C$3, $Q$3*128/$F$3, $Q$2)</f>
      </c>
      <c r="X28" s="12">
        <f>_xlfn.LAMBDA(m,n,k,(m*k+2*m*n+n*k)*1000*1000/$N$3/1024/1024/1024/1024/$K$5)(B28*$C$3, $Q$3*128/$F$3, $Q$2)</f>
      </c>
      <c r="Y28" s="12">
        <f>150 + $B28 *$C$3 * 2.3</f>
      </c>
      <c r="Z28" s="12">
        <f>_xlfn.LAMBDA(tp_size, hidden_size, batch_size, 2*batch_size*(tp_size-1)/tp_size*hidden_size*1000*1000/$N$4/1024/1024/1024/$I$6)($F$3, $Q$2,B28*$C$3)</f>
      </c>
      <c r="AA28" s="12">
        <f>_xlfn.LAMBDA(token_size_per_rank, to_nodes,hidden_size, sizeof_dtype, 50 + 4*token_size_per_rank * to_nodes * hidden_size*sizeof_dtype*1000*1000/$N$6/1024/1024/1024/$I$7)(B28*$C$5/$F$3, MIN($F$2,$S$2), $Q$2, 1)</f>
      </c>
      <c r="AB28" s="12">
        <f>_xlfn.LAMBDA(m,n,k, 2*m*n*k*1000*1000/$N$2/1024/1024/1024/1024/$I$3)(C28*$S$2/$F$5,$Q$8*2,$Q$2)</f>
      </c>
      <c r="AC28" s="36">
        <f>_xlfn.LAMBDA(size_of_dtype, experts, ep_size, hidden_size, internal_dim, experts/ep_size*hidden_size*internal_dim*size_of_dtype/$N$3/$K$5/1024/1024/1024/1024*1000*1000)($Y$12,$S$3,$F$5,$Q$2,$Q$8*2)</f>
      </c>
      <c r="AD28" s="12">
        <f>_xlfn.LAMBDA(m,n,k, 2*m*n*k*1000*1000/$N$2/1024/1024/1024/1024/$I$3)(C28*$S$2/$F$5,$Q$2,$Q$8)</f>
      </c>
      <c r="AE28" s="36">
        <f>_xlfn.LAMBDA(size_of_dtype, experts, ep_size, hidden_size, internal_dim, experts/ep_size*hidden_size*internal_dim*size_of_dtype/$N$3/$K$5/1024/1024/1024/1024*1000*1000)($Y$12,$S$3,$F$5,$Q$8, $Q$2)</f>
      </c>
      <c r="AF28" s="12">
        <f>AA28</f>
      </c>
      <c r="AG28" s="12">
        <f>_xlfn.LAMBDA(tp_size, hidden_size, batch_size, batch_size*(tp_size-1)*hidden_size*1000*1000/$N$4/1024/1024/1024/$I$6)($F$3, $Q$2,B28*$C$3)</f>
      </c>
      <c r="AH28" s="32">
        <f>_xlfn.LAMBDA(seq_len, q_len, bs, 2*seq_len*q_len*bs*2*$Q$3/$F$3*($Q$6 + $Q$7)*1000*1000/1024/1024/1024/1024/$N$5/$I$5)(A28,$C$3,B28)</f>
      </c>
      <c r="AI28" s="32">
        <f>_xlfn.LAMBDA(seq_len, q_len, bs, seq_len*bs*($Q$6 + $Q$7)*1000*1000/1024/1024/1024/1024/$N$3/$K$5)(A28,$C$3,B28)</f>
      </c>
      <c r="AJ28" s="12">
        <f>MAX(D28:E28)+MAX(F28:G28)+MAX(H28:I28)+MAX(J28:K28)+MAX(L28:M28)+MAX(N28:O28)+MAX(P28:Q28)+MAX(R28:S28)+MAX(S28:T28)+MAX(U28:V28)+MAX(W28:X28)+MAX(AB28:AC28)+MAX(AD28:AE28)+SUM(Y28:AA28)+SUM(AF28:AG28)</f>
      </c>
      <c r="AK28" s="35">
        <f>AJ28-MAX(J28:K28)-MAX(L28:M28)-MAX(N28:O28)-MAX(H28:I28)-MAX(S28:T28)+MAX(AH28:AI28)-0.05*AJ28</f>
      </c>
      <c r="AL28" s="34">
        <f>(MAX(AB28:AC28)+MAX(AD28:AE28))/AJ28</f>
      </c>
      <c r="AM28" s="33">
        <f>(MAX(AB28:AC28)+MAX(AD28:AE28))/AK28</f>
      </c>
      <c r="AN28" s="34">
        <f>MAX(S28:T28)/AJ28</f>
      </c>
      <c r="AO28" s="33">
        <f>MAX(AH28:AI28)/AK28</f>
      </c>
      <c r="AP28" s="12">
        <f>AJ28*$Q$9/1000</f>
      </c>
      <c r="AQ28" s="12">
        <f>AK28*$Q$9/1000</f>
      </c>
      <c r="AR28" s="12">
        <f>(AP28+2)/$C$5</f>
      </c>
      <c r="AS28" s="12">
        <f>(AQ28+2)/$C$5</f>
      </c>
      <c r="AT28" s="12">
        <f>B28*1000/AR28/$F$3</f>
      </c>
      <c r="AU28" s="12">
        <f>B28*1000/AS28/$F$3</f>
      </c>
      <c r="AV28" s="13">
        <f>1000000*$N$8/24/60/60/AT28</f>
      </c>
      <c r="AW28" s="13">
        <f>1000000*$N$8/24/60/60/AU28</f>
      </c>
      <c r="AX28" s="13">
        <f>AV28*$C$6</f>
      </c>
      <c r="AY28" s="13">
        <f>AW28*$C$6</f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</row>
    <row r="29">
      <c r="A29" s="4">
        <f>20*1024</f>
      </c>
      <c r="B29" s="4">
        <v>15</v>
      </c>
      <c r="C29" s="4">
        <f>B29*$F$4*$C$3</f>
      </c>
      <c r="D29" s="12">
        <v>10</v>
      </c>
      <c r="E29" s="12">
        <f>_xlfn.LAMBDA(m,n,k,(m*k+2*m*n+n*k)*1000*1000/$N$3/1024/1024/1024/1024/$K$5)(B29*$C$3,$Q$10,$Q$2)</f>
      </c>
      <c r="F29" s="12">
        <f>_xlfn.LAMBDA(m,n,k, 2*m*n*k*1000*1000/$N$2/1024/1024/1024/1024/$I$2)(B29*$C$3, $Q$3*(128+64)/$F$3, $Q$10)</f>
      </c>
      <c r="G29" s="12">
        <f>_xlfn.LAMBDA(m,n,k,(m*k+2*m*n+n*k)*1000*1000/$N$3/1024/1024/1024/1024/$K$5)(B29*$C$3, $Q$3*(128+64)/$F$3, $Q$10)</f>
      </c>
      <c r="H29" s="12">
        <v>15</v>
      </c>
      <c r="I29" s="12">
        <f>_xlfn.LAMBDA(m,n,k,(m*k+2*m*n+n*k)*1000*1000/$N$3/1024/1024/1024/1024/$K$5)(B29*$C$3,$Q$11*$Q$12,$Q$10)</f>
      </c>
      <c r="J29" s="12">
        <v>15</v>
      </c>
      <c r="K29" s="12">
        <f>_xlfn.LAMBDA(m,n,k,(m*k+2*m*n+n*k)*1000*1000/$N$3/1024/1024/1024/1024/$K$5)(B29*$C$3,$Q$11,$Q$2)</f>
      </c>
      <c r="L29" s="12">
        <v>5</v>
      </c>
      <c r="M29" s="12">
        <f>_xlfn.LAMBDA(m,n,k,(2*m*k+2*m*n+2*n*k)*1000*1000/$N$3/1024/1024/1024/1024/$K$5)(B29*$C$3,$Q$12,$Q$2)</f>
      </c>
      <c r="N29" s="32">
        <f>_xlfn.LAMBDA(seq_len, q_len, bs, seq_len*q_len*bs*2*($Q$12*$Q$11/$N$5 + $Q$12 / $N$7)*1000*1000/1024/1024/1024/1024/$K$6)(A29,$C$3,B29)</f>
      </c>
      <c r="O29" s="32">
        <f>_xlfn.LAMBDA(seq_len, q_len, bs, (q_len*bs*$Q$12*$Q$11 + seq_len * bs * $Q$11 + q_len*bs*$Q$12*4)*1000*1000/1024/1024/1024/1024/$N$3/$K$5)(A29,$C$3,B29)</f>
      </c>
      <c r="P29" s="12">
        <f>_xlfn.LAMBDA(b, m,n,k, 2*b*m*n*k*1000*1000/$N$7/1024/1024/1024/1024/$I$2)($Q$3, B29*$C$3, 128, $Q$7)</f>
      </c>
      <c r="Q29" s="12">
        <f>_xlfn.LAMBDA(b,m,n,k,b*(2*m*k+2*m*n+2*n*k)*1000*1000/$N$3/1024/1024/1024/1024/$K$5)($Q$3, B29*$C$3, 128, $Q$7)</f>
      </c>
      <c r="R29" s="12">
        <v>10</v>
      </c>
      <c r="S29" s="32">
        <f>_xlfn.LAMBDA(seq_len, q_len, bs, seq_len*q_len*bs*2*$Q$3/$F$3*($Q$6 + $Q$7)*1000*1000/1024/1024/1024/1024/$N$7/$K$6)(MIN(A29,$Q$13),$C$3,B29)</f>
      </c>
      <c r="T29" s="32">
        <f>_xlfn.LAMBDA(seq_len, q_len, bs, seq_len*bs*$U$15*($Q$6 + $Q$7)*1000*1000/1024/1024/1024/1024/$N$3/$K$5)(MIN(A29,$Q$13),$C$3,B29)</f>
      </c>
      <c r="U29" s="12">
        <f>_xlfn.LAMBDA(b, m,n,k, 2*b*m*n*k*1000*1000/$N$7/1024/1024/1024/1024/$I$2)($Q$3, B29*$C$3, 128, $Q$7)</f>
      </c>
      <c r="V29" s="12">
        <f>_xlfn.LAMBDA(b,m,n,k,b*(2*m*k+2*m*n+2*n*k)*1000*1000/$N$3/1024/1024/1024/1024/$K$5)($Q$3, B29*$C$3, 128, $Q$7)</f>
      </c>
      <c r="W29" s="12">
        <f>_xlfn.LAMBDA(m,n,k, 2*m*n*k*1000*1000/$N$2/1024/1024/1024/1024/$K$2)(B29*$C$3, $Q$3*128/$F$3, $Q$2)</f>
      </c>
      <c r="X29" s="12">
        <f>_xlfn.LAMBDA(m,n,k,(m*k+2*m*n+n*k)*1000*1000/$N$3/1024/1024/1024/1024/$K$5)(B29*$C$3, $Q$3*128/$F$3, $Q$2)</f>
      </c>
      <c r="Y29" s="12">
        <f>150 + $B29 *$C$3 * 2.3</f>
      </c>
      <c r="Z29" s="12">
        <f>_xlfn.LAMBDA(tp_size, hidden_size, batch_size, 2*batch_size*(tp_size-1)/tp_size*hidden_size*1000*1000/$N$4/1024/1024/1024/$I$6)($F$3, $Q$2,B29*$C$3)</f>
      </c>
      <c r="AA29" s="12">
        <f>_xlfn.LAMBDA(token_size_per_rank, to_nodes,hidden_size, sizeof_dtype, 50 + 4*token_size_per_rank * to_nodes * hidden_size*sizeof_dtype*1000*1000/$N$6/1024/1024/1024/$I$7)(B29*$C$5/$F$3, MIN($F$2,$S$2), $Q$2, 1)</f>
      </c>
      <c r="AB29" s="12">
        <f>_xlfn.LAMBDA(m,n,k, 2*m*n*k*1000*1000/$N$2/1024/1024/1024/1024/$I$3)(C29*$S$2/$F$5,$Q$8*2,$Q$2)</f>
      </c>
      <c r="AC29" s="36">
        <f>_xlfn.LAMBDA(size_of_dtype, experts, ep_size, hidden_size, internal_dim, experts/ep_size*hidden_size*internal_dim*size_of_dtype/$N$3/$K$5/1024/1024/1024/1024*1000*1000)($Y$12,$S$3,$F$5,$Q$2,$Q$8*2)</f>
      </c>
      <c r="AD29" s="12">
        <f>_xlfn.LAMBDA(m,n,k, 2*m*n*k*1000*1000/$N$2/1024/1024/1024/1024/$I$3)(C29*$S$2/$F$5,$Q$2,$Q$8)</f>
      </c>
      <c r="AE29" s="36">
        <f>_xlfn.LAMBDA(size_of_dtype, experts, ep_size, hidden_size, internal_dim, experts/ep_size*hidden_size*internal_dim*size_of_dtype/$N$3/$K$5/1024/1024/1024/1024*1000*1000)($Y$12,$S$3,$F$5,$Q$8, $Q$2)</f>
      </c>
      <c r="AF29" s="12">
        <f>AA29</f>
      </c>
      <c r="AG29" s="12">
        <f>_xlfn.LAMBDA(tp_size, hidden_size, batch_size, batch_size*(tp_size-1)*hidden_size*1000*1000/$N$4/1024/1024/1024/$I$6)($F$3, $Q$2,B29*$C$3)</f>
      </c>
      <c r="AH29" s="32">
        <f>_xlfn.LAMBDA(seq_len, q_len, bs, 2*seq_len*q_len*bs*2*$Q$3/$F$3*($Q$6 + $Q$7)*1000*1000/1024/1024/1024/1024/$N$5/$I$5)(A29,$C$3,B29)</f>
      </c>
      <c r="AI29" s="32">
        <f>_xlfn.LAMBDA(seq_len, q_len, bs, seq_len*bs*($Q$6 + $Q$7)*1000*1000/1024/1024/1024/1024/$N$3/$K$5)(A29,$C$3,B29)</f>
      </c>
      <c r="AJ29" s="12">
        <f>MAX(D29:E29)+MAX(F29:G29)+MAX(H29:I29)+MAX(J29:K29)+MAX(L29:M29)+MAX(N29:O29)+MAX(P29:Q29)+MAX(R29:S29)+MAX(S29:T29)+MAX(U29:V29)+MAX(W29:X29)+MAX(AB29:AC29)+MAX(AD29:AE29)+SUM(Y29:AA29)+SUM(AF29:AG29)</f>
      </c>
      <c r="AK29" s="35">
        <f>AJ29-MAX(J29:K29)-MAX(L29:M29)-MAX(N29:O29)-MAX(H29:I29)-MAX(S29:T29)+MAX(AH29:AI29)-0.05*AJ29</f>
      </c>
      <c r="AL29" s="34">
        <f>(MAX(AB29:AC29)+MAX(AD29:AE29))/AJ29</f>
      </c>
      <c r="AM29" s="33">
        <f>(MAX(AB29:AC29)+MAX(AD29:AE29))/AK29</f>
      </c>
      <c r="AN29" s="34">
        <f>MAX(S29:T29)/AJ29</f>
      </c>
      <c r="AO29" s="33">
        <f>MAX(AH29:AI29)/AK29</f>
      </c>
      <c r="AP29" s="12">
        <f>AJ29*$Q$9/1000</f>
      </c>
      <c r="AQ29" s="12">
        <f>AK29*$Q$9/1000</f>
      </c>
      <c r="AR29" s="12">
        <f>(AP29+2)/$C$5</f>
      </c>
      <c r="AS29" s="12">
        <f>(AQ29+2)/$C$5</f>
      </c>
      <c r="AT29" s="12">
        <f>B29*1000/AR29/$F$3</f>
      </c>
      <c r="AU29" s="12">
        <f>B29*1000/AS29/$F$3</f>
      </c>
      <c r="AV29" s="13">
        <f>1000000*$N$8/24/60/60/AT29</f>
      </c>
      <c r="AW29" s="13">
        <f>1000000*$N$8/24/60/60/AU29</f>
      </c>
      <c r="AX29" s="13">
        <f>AV29*$C$6</f>
      </c>
      <c r="AY29" s="13">
        <f>AW29*$C$6</f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</row>
    <row r="30">
      <c r="A30" s="4">
        <f>32*1024</f>
      </c>
      <c r="B30" s="4">
        <v>15</v>
      </c>
      <c r="C30" s="4">
        <f>B30*$F$4*$C$3</f>
      </c>
      <c r="D30" s="12">
        <v>10</v>
      </c>
      <c r="E30" s="12">
        <f>_xlfn.LAMBDA(m,n,k,(m*k+2*m*n+n*k)*1000*1000/$N$3/1024/1024/1024/1024/$K$5)(B30*$C$3,$Q$10,$Q$2)</f>
      </c>
      <c r="F30" s="12">
        <f>_xlfn.LAMBDA(m,n,k, 2*m*n*k*1000*1000/$N$2/1024/1024/1024/1024/$I$2)(B30*$C$3, $Q$3*(128+64)/$F$3, $Q$10)</f>
      </c>
      <c r="G30" s="12">
        <f>_xlfn.LAMBDA(m,n,k,(m*k+2*m*n+n*k)*1000*1000/$N$3/1024/1024/1024/1024/$K$5)(B30*$C$3, $Q$3*(128+64)/$F$3, $Q$10)</f>
      </c>
      <c r="H30" s="12">
        <v>15</v>
      </c>
      <c r="I30" s="12">
        <f>_xlfn.LAMBDA(m,n,k,(m*k+2*m*n+n*k)*1000*1000/$N$3/1024/1024/1024/1024/$K$5)(B30*$C$3,$Q$11*$Q$12,$Q$10)</f>
      </c>
      <c r="J30" s="12">
        <v>15</v>
      </c>
      <c r="K30" s="12">
        <f>_xlfn.LAMBDA(m,n,k,(m*k+2*m*n+n*k)*1000*1000/$N$3/1024/1024/1024/1024/$K$5)(B30*$C$3,$Q$11,$Q$2)</f>
      </c>
      <c r="L30" s="12">
        <v>5</v>
      </c>
      <c r="M30" s="12">
        <f>_xlfn.LAMBDA(m,n,k,(2*m*k+2*m*n+2*n*k)*1000*1000/$N$3/1024/1024/1024/1024/$K$5)(B30*$C$3,$Q$12,$Q$2)</f>
      </c>
      <c r="N30" s="32">
        <f>_xlfn.LAMBDA(seq_len, q_len, bs, seq_len*q_len*bs*2*($Q$12*$Q$11/$N$5 + $Q$12 / $N$7)*1000*1000/1024/1024/1024/1024/$K$6)(A30,$C$3,B30)</f>
      </c>
      <c r="O30" s="32">
        <f>_xlfn.LAMBDA(seq_len, q_len, bs, (q_len*bs*$Q$12*$Q$11 + seq_len * bs * $Q$11 + q_len*bs*$Q$12*4)*1000*1000/1024/1024/1024/1024/$N$3/$K$5)(A30,$C$3,B30)</f>
      </c>
      <c r="P30" s="12">
        <f>_xlfn.LAMBDA(b, m,n,k, 2*b*m*n*k*1000*1000/$N$7/1024/1024/1024/1024/$I$2)($Q$3, B30*$C$3, 128, $Q$7)</f>
      </c>
      <c r="Q30" s="12">
        <f>_xlfn.LAMBDA(b,m,n,k,b*(2*m*k+2*m*n+2*n*k)*1000*1000/$N$3/1024/1024/1024/1024/$K$5)($Q$3, B30*$C$3, 128, $Q$7)</f>
      </c>
      <c r="R30" s="12">
        <v>10</v>
      </c>
      <c r="S30" s="32">
        <f>_xlfn.LAMBDA(seq_len, q_len, bs, seq_len*q_len*bs*2*$Q$3/$F$3*($Q$6 + $Q$7)*1000*1000/1024/1024/1024/1024/$N$7/$K$6)(MIN(A30,$Q$13),$C$3,B30)</f>
      </c>
      <c r="T30" s="32">
        <f>_xlfn.LAMBDA(seq_len, q_len, bs, seq_len*bs*$U$15*($Q$6 + $Q$7)*1000*1000/1024/1024/1024/1024/$N$3/$K$5)(MIN(A30,$Q$13),$C$3,B30)</f>
      </c>
      <c r="U30" s="12">
        <f>_xlfn.LAMBDA(b, m,n,k, 2*b*m*n*k*1000*1000/$N$7/1024/1024/1024/1024/$I$2)($Q$3, B30*$C$3, 128, $Q$7)</f>
      </c>
      <c r="V30" s="12">
        <f>_xlfn.LAMBDA(b,m,n,k,b*(2*m*k+2*m*n+2*n*k)*1000*1000/$N$3/1024/1024/1024/1024/$K$5)($Q$3, B30*$C$3, 128, $Q$7)</f>
      </c>
      <c r="W30" s="12">
        <f>_xlfn.LAMBDA(m,n,k, 2*m*n*k*1000*1000/$N$2/1024/1024/1024/1024/$K$2)(B30*$C$3, $Q$3*128/$F$3, $Q$2)</f>
      </c>
      <c r="X30" s="12">
        <f>_xlfn.LAMBDA(m,n,k,(m*k+2*m*n+n*k)*1000*1000/$N$3/1024/1024/1024/1024/$K$5)(B30*$C$3, $Q$3*128/$F$3, $Q$2)</f>
      </c>
      <c r="Y30" s="12">
        <f>150 + $B30 *$C$3 * 2.3</f>
      </c>
      <c r="Z30" s="12">
        <f>_xlfn.LAMBDA(tp_size, hidden_size, batch_size, 2*batch_size*(tp_size-1)/tp_size*hidden_size*1000*1000/$N$4/1024/1024/1024/$I$6)($F$3, $Q$2,B30*$C$3)</f>
      </c>
      <c r="AA30" s="12">
        <f>_xlfn.LAMBDA(token_size_per_rank, to_nodes,hidden_size, sizeof_dtype, 50 + 4*token_size_per_rank * to_nodes * hidden_size*sizeof_dtype*1000*1000/$N$6/1024/1024/1024/$I$7)(B30*$C$5/$F$3, MIN($F$2,$S$2), $Q$2, 1)</f>
      </c>
      <c r="AB30" s="12">
        <f>_xlfn.LAMBDA(m,n,k, 2*m*n*k*1000*1000/$N$2/1024/1024/1024/1024/$I$3)(C30*$S$2/$F$5,$Q$8*2,$Q$2)</f>
      </c>
      <c r="AC30" s="36">
        <f>_xlfn.LAMBDA(size_of_dtype, experts, ep_size, hidden_size, internal_dim, experts/ep_size*hidden_size*internal_dim*size_of_dtype/$N$3/$K$5/1024/1024/1024/1024*1000*1000)($Y$12,$S$3,$F$5,$Q$2,$Q$8*2)</f>
      </c>
      <c r="AD30" s="12">
        <f>_xlfn.LAMBDA(m,n,k, 2*m*n*k*1000*1000/$N$2/1024/1024/1024/1024/$I$3)(C30*$S$2/$F$5,$Q$2,$Q$8)</f>
      </c>
      <c r="AE30" s="36">
        <f>_xlfn.LAMBDA(size_of_dtype, experts, ep_size, hidden_size, internal_dim, experts/ep_size*hidden_size*internal_dim*size_of_dtype/$N$3/$K$5/1024/1024/1024/1024*1000*1000)($Y$12,$S$3,$F$5,$Q$8, $Q$2)</f>
      </c>
      <c r="AF30" s="12">
        <f>AA30</f>
      </c>
      <c r="AG30" s="12">
        <f>_xlfn.LAMBDA(tp_size, hidden_size, batch_size, batch_size*(tp_size-1)*hidden_size*1000*1000/$N$4/1024/1024/1024/$I$6)($F$3, $Q$2,B30*$C$3)</f>
      </c>
      <c r="AH30" s="32">
        <f>_xlfn.LAMBDA(seq_len, q_len, bs, 2*seq_len*q_len*bs*2*$Q$3/$F$3*($Q$6 + $Q$7)*1000*1000/1024/1024/1024/1024/$N$5/$I$5)(A30,$C$3,B30)</f>
      </c>
      <c r="AI30" s="32">
        <f>_xlfn.LAMBDA(seq_len, q_len, bs, seq_len*bs*($Q$6 + $Q$7)*1000*1000/1024/1024/1024/1024/$N$3/$K$5)(A30,$C$3,B30)</f>
      </c>
      <c r="AJ30" s="12">
        <f>MAX(D30:E30)+MAX(F30:G30)+MAX(H30:I30)+MAX(J30:K30)+MAX(L30:M30)+MAX(N30:O30)+MAX(P30:Q30)+MAX(R30:S30)+MAX(S30:T30)+MAX(U30:V30)+MAX(W30:X30)+MAX(AB30:AC30)+MAX(AD30:AE30)+SUM(Y30:AA30)+SUM(AF30:AG30)</f>
      </c>
      <c r="AK30" s="35">
        <f>AJ30-MAX(J30:K30)-MAX(L30:M30)-MAX(N30:O30)-MAX(H30:I30)-MAX(S30:T30)+MAX(AH30:AI30)-0.05*AJ30</f>
      </c>
      <c r="AL30" s="34">
        <f>(MAX(AB30:AC30)+MAX(AD30:AE30))/AJ30</f>
      </c>
      <c r="AM30" s="33">
        <f>(MAX(AB30:AC30)+MAX(AD30:AE30))/AK30</f>
      </c>
      <c r="AN30" s="34">
        <f>MAX(S30:T30)/AJ30</f>
      </c>
      <c r="AO30" s="33">
        <f>MAX(AH30:AI30)/AK30</f>
      </c>
      <c r="AP30" s="12">
        <f>AJ30*$Q$9/1000</f>
      </c>
      <c r="AQ30" s="12">
        <f>AK30*$Q$9/1000</f>
      </c>
      <c r="AR30" s="12">
        <f>(AP30+2)/$C$5</f>
      </c>
      <c r="AS30" s="12">
        <f>(AQ30+2)/$C$5</f>
      </c>
      <c r="AT30" s="12">
        <f>B30*1000/AR30/$F$3</f>
      </c>
      <c r="AU30" s="12">
        <f>B30*1000/AS30/$F$3</f>
      </c>
      <c r="AV30" s="13">
        <f>1000000*$N$8/24/60/60/AT30</f>
      </c>
      <c r="AW30" s="13">
        <f>1000000*$N$8/24/60/60/AU30</f>
      </c>
      <c r="AX30" s="13">
        <f>AV30*$C$6</f>
      </c>
      <c r="AY30" s="13">
        <f>AW30*$C$6</f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</row>
    <row r="31">
      <c r="A31" s="4">
        <f>50*1024</f>
      </c>
      <c r="B31" s="4">
        <v>10</v>
      </c>
      <c r="C31" s="4">
        <f>B31*$F$4*$C$3</f>
      </c>
      <c r="D31" s="12">
        <v>10</v>
      </c>
      <c r="E31" s="12">
        <f>_xlfn.LAMBDA(m,n,k,(m*k+2*m*n+n*k)*1000*1000/$N$3/1024/1024/1024/1024/$K$5)(B31*$C$3,$Q$10,$Q$2)</f>
      </c>
      <c r="F31" s="12">
        <f>_xlfn.LAMBDA(m,n,k, 2*m*n*k*1000*1000/$N$2/1024/1024/1024/1024/$I$2)(B31*$C$3, $Q$3*(128+64)/$F$3, $Q$10)</f>
      </c>
      <c r="G31" s="12">
        <f>_xlfn.LAMBDA(m,n,k,(m*k+2*m*n+n*k)*1000*1000/$N$3/1024/1024/1024/1024/$K$5)(B31*$C$3, $Q$3*(128+64)/$F$3, $Q$10)</f>
      </c>
      <c r="H31" s="12">
        <v>15</v>
      </c>
      <c r="I31" s="12">
        <f>_xlfn.LAMBDA(m,n,k,(m*k+2*m*n+n*k)*1000*1000/$N$3/1024/1024/1024/1024/$K$5)(B31*$C$3,$Q$11*$Q$12,$Q$10)</f>
      </c>
      <c r="J31" s="12">
        <v>15</v>
      </c>
      <c r="K31" s="12">
        <f>_xlfn.LAMBDA(m,n,k,(m*k+2*m*n+n*k)*1000*1000/$N$3/1024/1024/1024/1024/$K$5)(B31*$C$3,$Q$11,$Q$2)</f>
      </c>
      <c r="L31" s="12">
        <v>5</v>
      </c>
      <c r="M31" s="12">
        <f>_xlfn.LAMBDA(m,n,k,(2*m*k+2*m*n+2*n*k)*1000*1000/$N$3/1024/1024/1024/1024/$K$5)(B31*$C$3,$Q$12,$Q$2)</f>
      </c>
      <c r="N31" s="32">
        <f>_xlfn.LAMBDA(seq_len, q_len, bs, seq_len*q_len*bs*2*($Q$12*$Q$11/$N$5 + $Q$12 / $N$7)*1000*1000/1024/1024/1024/1024/$K$6)(A31,$C$3,B31)</f>
      </c>
      <c r="O31" s="32">
        <f>_xlfn.LAMBDA(seq_len, q_len, bs, (q_len*bs*$Q$12*$Q$11 + seq_len * bs * $Q$11 + q_len*bs*$Q$12*4)*1000*1000/1024/1024/1024/1024/$N$3/$K$5)(A31,$C$3,B31)</f>
      </c>
      <c r="P31" s="12">
        <f>_xlfn.LAMBDA(b, m,n,k, 2*b*m*n*k*1000*1000/$N$7/1024/1024/1024/1024/$I$2)($Q$3, B31*$C$3, 128, $Q$7)</f>
      </c>
      <c r="Q31" s="12">
        <f>_xlfn.LAMBDA(b,m,n,k,b*(2*m*k+2*m*n+2*n*k)*1000*1000/$N$3/1024/1024/1024/1024/$K$5)($Q$3, B31*$C$3, 128, $Q$7)</f>
      </c>
      <c r="R31" s="12">
        <v>10</v>
      </c>
      <c r="S31" s="32">
        <f>_xlfn.LAMBDA(seq_len, q_len, bs, seq_len*q_len*bs*2*$Q$3/$F$3*($Q$6 + $Q$7)*1000*1000/1024/1024/1024/1024/$N$7/$K$6)(MIN(A31,$Q$13),$C$3,B31)</f>
      </c>
      <c r="T31" s="32">
        <f>_xlfn.LAMBDA(seq_len, q_len, bs, seq_len*bs*$U$15*($Q$6 + $Q$7)*1000*1000/1024/1024/1024/1024/$N$3/$K$5)(MIN(A31,$Q$13),$C$3,B31)</f>
      </c>
      <c r="U31" s="12">
        <f>_xlfn.LAMBDA(b, m,n,k, 2*b*m*n*k*1000*1000/$N$7/1024/1024/1024/1024/$I$2)($Q$3, B31*$C$3, 128, $Q$7)</f>
      </c>
      <c r="V31" s="12">
        <f>_xlfn.LAMBDA(b,m,n,k,b*(2*m*k+2*m*n+2*n*k)*1000*1000/$N$3/1024/1024/1024/1024/$K$5)($Q$3, B31*$C$3, 128, $Q$7)</f>
      </c>
      <c r="W31" s="12">
        <f>_xlfn.LAMBDA(m,n,k, 2*m*n*k*1000*1000/$N$2/1024/1024/1024/1024/$K$2)(B31*$C$3, $Q$3*128/$F$3, $Q$2)</f>
      </c>
      <c r="X31" s="12">
        <f>_xlfn.LAMBDA(m,n,k,(m*k+2*m*n+n*k)*1000*1000/$N$3/1024/1024/1024/1024/$K$5)(B31*$C$3, $Q$3*128/$F$3, $Q$2)</f>
      </c>
      <c r="Y31" s="12">
        <f>150 + $B31 *$C$3 * 2.3</f>
      </c>
      <c r="Z31" s="12">
        <f>_xlfn.LAMBDA(tp_size, hidden_size, batch_size, 2*batch_size*(tp_size-1)/tp_size*hidden_size*1000*1000/$N$4/1024/1024/1024/$I$6)($F$3, $Q$2,B31*$C$3)</f>
      </c>
      <c r="AA31" s="12">
        <f>_xlfn.LAMBDA(token_size_per_rank, to_nodes,hidden_size, sizeof_dtype, 50 + 4*token_size_per_rank * to_nodes * hidden_size*sizeof_dtype*1000*1000/$N$6/1024/1024/1024/$I$7)(B31*$C$5/$F$3, MIN($F$2,$S$2), $Q$2, 1)</f>
      </c>
      <c r="AB31" s="12">
        <f>_xlfn.LAMBDA(m,n,k, 2*m*n*k*1000*1000/$N$2/1024/1024/1024/1024/$I$3)(C31*$S$2/$F$5,$Q$8*2,$Q$2)</f>
      </c>
      <c r="AC31" s="36">
        <f>_xlfn.LAMBDA(size_of_dtype, experts, ep_size, hidden_size, internal_dim, experts/ep_size*hidden_size*internal_dim*size_of_dtype/$N$3/$K$5/1024/1024/1024/1024*1000*1000)($Y$12,$S$3,$F$5,$Q$2,$Q$8*2)</f>
      </c>
      <c r="AD31" s="12">
        <f>_xlfn.LAMBDA(m,n,k, 2*m*n*k*1000*1000/$N$2/1024/1024/1024/1024/$I$3)(C31*$S$2/$F$5,$Q$2,$Q$8)</f>
      </c>
      <c r="AE31" s="36">
        <f>_xlfn.LAMBDA(size_of_dtype, experts, ep_size, hidden_size, internal_dim, experts/ep_size*hidden_size*internal_dim*size_of_dtype/$N$3/$K$5/1024/1024/1024/1024*1000*1000)($Y$12,$S$3,$F$5,$Q$8, $Q$2)</f>
      </c>
      <c r="AF31" s="12">
        <f>AA31</f>
      </c>
      <c r="AG31" s="12">
        <f>_xlfn.LAMBDA(tp_size, hidden_size, batch_size, batch_size*(tp_size-1)*hidden_size*1000*1000/$N$4/1024/1024/1024/$I$6)($F$3, $Q$2,B31*$C$3)</f>
      </c>
      <c r="AH31" s="32">
        <f>_xlfn.LAMBDA(seq_len, q_len, bs, 2*seq_len*q_len*bs*2*$Q$3/$F$3*($Q$6 + $Q$7)*1000*1000/1024/1024/1024/1024/$N$5/$I$5)(A31,$C$3,B31)</f>
      </c>
      <c r="AI31" s="32">
        <f>_xlfn.LAMBDA(seq_len, q_len, bs, seq_len*bs*($Q$6 + $Q$7)*1000*1000/1024/1024/1024/1024/$N$3/$K$5)(A31,$C$3,B31)</f>
      </c>
      <c r="AJ31" s="12">
        <f>MAX(D31:E31)+MAX(F31:G31)+MAX(H31:I31)+MAX(J31:K31)+MAX(L31:M31)+MAX(N31:O31)+MAX(P31:Q31)+MAX(R31:S31)+MAX(S31:T31)+MAX(U31:V31)+MAX(W31:X31)+MAX(AB31:AC31)+MAX(AD31:AE31)+SUM(Y31:AA31)+SUM(AF31:AG31)</f>
      </c>
      <c r="AK31" s="35">
        <f>AJ31-MAX(J31:K31)-MAX(L31:M31)-MAX(N31:O31)-MAX(H31:I31)-MAX(S31:T31)+MAX(AH31:AI31)-0.05*AJ31</f>
      </c>
      <c r="AL31" s="34">
        <f>(MAX(AB31:AC31)+MAX(AD31:AE31))/AJ31</f>
      </c>
      <c r="AM31" s="33">
        <f>(MAX(AB31:AC31)+MAX(AD31:AE31))/AK31</f>
      </c>
      <c r="AN31" s="34">
        <f>MAX(S31:T31)/AJ31</f>
      </c>
      <c r="AO31" s="33">
        <f>MAX(AH31:AI31)/AK31</f>
      </c>
      <c r="AP31" s="12">
        <f>AJ31*$Q$9/1000</f>
      </c>
      <c r="AQ31" s="12">
        <f>AK31*$Q$9/1000</f>
      </c>
      <c r="AR31" s="12">
        <f>(AP31+2)/$C$5</f>
      </c>
      <c r="AS31" s="12">
        <f>(AQ31+2)/$C$5</f>
      </c>
      <c r="AT31" s="12">
        <f>B31*1000/AR31/$F$3</f>
      </c>
      <c r="AU31" s="12">
        <f>B31*1000/AS31/$F$3</f>
      </c>
      <c r="AV31" s="13">
        <f>1000000*$N$8/24/60/60/AT31</f>
      </c>
      <c r="AW31" s="13">
        <f>1000000*$N$8/24/60/60/AU31</f>
      </c>
      <c r="AX31" s="13">
        <f>AV31*$C$6</f>
      </c>
      <c r="AY31" s="13">
        <f>AW31*$C$6</f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</row>
    <row r="32">
      <c r="A32" s="4">
        <f>64*1024</f>
      </c>
      <c r="B32" s="4">
        <v>10</v>
      </c>
      <c r="C32" s="4">
        <f>B32*$F$4*$C$3</f>
      </c>
      <c r="D32" s="12">
        <v>10</v>
      </c>
      <c r="E32" s="12">
        <f>_xlfn.LAMBDA(m,n,k,(m*k+2*m*n+n*k)*1000*1000/$N$3/1024/1024/1024/1024/$K$5)(B32*$C$3,$Q$10,$Q$2)</f>
      </c>
      <c r="F32" s="12">
        <f>_xlfn.LAMBDA(m,n,k, 2*m*n*k*1000*1000/$N$2/1024/1024/1024/1024/$I$2)(B32*$C$3, $Q$3*(128+64)/$F$3, $Q$10)</f>
      </c>
      <c r="G32" s="12">
        <f>_xlfn.LAMBDA(m,n,k,(m*k+2*m*n+n*k)*1000*1000/$N$3/1024/1024/1024/1024/$K$5)(B32*$C$3, $Q$3*(128+64)/$F$3, $Q$10)</f>
      </c>
      <c r="H32" s="12">
        <v>15</v>
      </c>
      <c r="I32" s="12">
        <f>_xlfn.LAMBDA(m,n,k,(m*k+2*m*n+n*k)*1000*1000/$N$3/1024/1024/1024/1024/$K$5)(B32*$C$3,$Q$11*$Q$12,$Q$10)</f>
      </c>
      <c r="J32" s="12">
        <v>15</v>
      </c>
      <c r="K32" s="12">
        <f>_xlfn.LAMBDA(m,n,k,(m*k+2*m*n+n*k)*1000*1000/$N$3/1024/1024/1024/1024/$K$5)(B32*$C$3,$Q$11,$Q$2)</f>
      </c>
      <c r="L32" s="12">
        <v>5</v>
      </c>
      <c r="M32" s="12">
        <f>_xlfn.LAMBDA(m,n,k,(2*m*k+2*m*n+2*n*k)*1000*1000/$N$3/1024/1024/1024/1024/$K$5)(B32*$C$3,$Q$12,$Q$2)</f>
      </c>
      <c r="N32" s="32">
        <f>_xlfn.LAMBDA(seq_len, q_len, bs, seq_len*q_len*bs*2*($Q$12*$Q$11/$N$5 + $Q$12 / $N$7)*1000*1000/1024/1024/1024/1024/$K$6)(A32,$C$3,B32)</f>
      </c>
      <c r="O32" s="32">
        <f>_xlfn.LAMBDA(seq_len, q_len, bs, (q_len*bs*$Q$12*$Q$11 + seq_len * bs * $Q$11 + q_len*bs*$Q$12*4)*1000*1000/1024/1024/1024/1024/$N$3/$K$5)(A32,$C$3,B32)</f>
      </c>
      <c r="P32" s="12">
        <f>_xlfn.LAMBDA(b, m,n,k, 2*b*m*n*k*1000*1000/$N$7/1024/1024/1024/1024/$I$2)($Q$3, B32*$C$3, 128, $Q$7)</f>
      </c>
      <c r="Q32" s="12">
        <f>_xlfn.LAMBDA(b,m,n,k,b*(2*m*k+2*m*n+2*n*k)*1000*1000/$N$3/1024/1024/1024/1024/$K$5)($Q$3, B32*$C$3, 128, $Q$7)</f>
      </c>
      <c r="R32" s="12">
        <v>10</v>
      </c>
      <c r="S32" s="32">
        <f>_xlfn.LAMBDA(seq_len, q_len, bs, seq_len*q_len*bs*2*$Q$3/$F$3*($Q$6 + $Q$7)*1000*1000/1024/1024/1024/1024/$N$7/$K$6)(MIN(A32,$Q$13),$C$3,B32)</f>
      </c>
      <c r="T32" s="32">
        <f>_xlfn.LAMBDA(seq_len, q_len, bs, seq_len*bs*$U$15*($Q$6 + $Q$7)*1000*1000/1024/1024/1024/1024/$N$3/$K$5)(MIN(A32,$Q$13),$C$3,B32)</f>
      </c>
      <c r="U32" s="12">
        <f>_xlfn.LAMBDA(b, m,n,k, 2*b*m*n*k*1000*1000/$N$7/1024/1024/1024/1024/$I$2)($Q$3, B32*$C$3, 128, $Q$7)</f>
      </c>
      <c r="V32" s="12">
        <f>_xlfn.LAMBDA(b,m,n,k,b*(2*m*k+2*m*n+2*n*k)*1000*1000/$N$3/1024/1024/1024/1024/$K$5)($Q$3, B32*$C$3, 128, $Q$7)</f>
      </c>
      <c r="W32" s="12">
        <f>_xlfn.LAMBDA(m,n,k, 2*m*n*k*1000*1000/$N$2/1024/1024/1024/1024/$K$2)(B32*$C$3, $Q$3*128/$F$3, $Q$2)</f>
      </c>
      <c r="X32" s="12">
        <f>_xlfn.LAMBDA(m,n,k,(m*k+2*m*n+n*k)*1000*1000/$N$3/1024/1024/1024/1024/$K$5)(B32*$C$3, $Q$3*128/$F$3, $Q$2)</f>
      </c>
      <c r="Y32" s="12">
        <f>150 + $B32 *$C$3 * 2.3</f>
      </c>
      <c r="Z32" s="12">
        <f>_xlfn.LAMBDA(tp_size, hidden_size, batch_size, 2*batch_size*(tp_size-1)/tp_size*hidden_size*1000*1000/$N$4/1024/1024/1024/$I$6)($F$3, $Q$2,B32*$C$3)</f>
      </c>
      <c r="AA32" s="12">
        <f>_xlfn.LAMBDA(token_size_per_rank, to_nodes,hidden_size, sizeof_dtype, 50 + 4*token_size_per_rank * to_nodes * hidden_size*sizeof_dtype*1000*1000/$N$6/1024/1024/1024/$I$7)(B32*$C$5/$F$3, MIN($F$2,$S$2), $Q$2, 1)</f>
      </c>
      <c r="AB32" s="12">
        <f>_xlfn.LAMBDA(m,n,k, 2*m*n*k*1000*1000/$N$2/1024/1024/1024/1024/$I$3)(C32*$S$2/$F$5,$Q$8*2,$Q$2)</f>
      </c>
      <c r="AC32" s="36">
        <f>_xlfn.LAMBDA(size_of_dtype, experts, ep_size, hidden_size, internal_dim, experts/ep_size*hidden_size*internal_dim*size_of_dtype/$N$3/$K$5/1024/1024/1024/1024*1000*1000)($Y$12,$S$3,$F$5,$Q$2,$Q$8*2)</f>
      </c>
      <c r="AD32" s="12">
        <f>_xlfn.LAMBDA(m,n,k, 2*m*n*k*1000*1000/$N$2/1024/1024/1024/1024/$I$3)(C32*$S$2/$F$5,$Q$2,$Q$8)</f>
      </c>
      <c r="AE32" s="36">
        <f>_xlfn.LAMBDA(size_of_dtype, experts, ep_size, hidden_size, internal_dim, experts/ep_size*hidden_size*internal_dim*size_of_dtype/$N$3/$K$5/1024/1024/1024/1024*1000*1000)($Y$12,$S$3,$F$5,$Q$8, $Q$2)</f>
      </c>
      <c r="AF32" s="12">
        <f>AA32</f>
      </c>
      <c r="AG32" s="12">
        <f>_xlfn.LAMBDA(tp_size, hidden_size, batch_size, batch_size*(tp_size-1)*hidden_size*1000*1000/$N$4/1024/1024/1024/$I$6)($F$3, $Q$2,B32*$C$3)</f>
      </c>
      <c r="AH32" s="32">
        <f>_xlfn.LAMBDA(seq_len, q_len, bs, 2*seq_len*q_len*bs*2*$Q$3/$F$3*($Q$6 + $Q$7)*1000*1000/1024/1024/1024/1024/$N$5/$I$5)(A32,$C$3,B32)</f>
      </c>
      <c r="AI32" s="32">
        <f>_xlfn.LAMBDA(seq_len, q_len, bs, seq_len*bs*($Q$6 + $Q$7)*1000*1000/1024/1024/1024/1024/$N$3/$K$5)(A32,$C$3,B32)</f>
      </c>
      <c r="AJ32" s="12">
        <f>MAX(D32:E32)+MAX(F32:G32)+MAX(H32:I32)+MAX(J32:K32)+MAX(L32:M32)+MAX(N32:O32)+MAX(P32:Q32)+MAX(R32:S32)+MAX(S32:T32)+MAX(U32:V32)+MAX(W32:X32)+MAX(AB32:AC32)+MAX(AD32:AE32)+SUM(Y32:AA32)+SUM(AF32:AG32)</f>
      </c>
      <c r="AK32" s="35">
        <f>AJ32-MAX(J32:K32)-MAX(L32:M32)-MAX(N32:O32)-MAX(H32:I32)-MAX(S32:T32)+MAX(AH32:AI32)-0.05*AJ32</f>
      </c>
      <c r="AL32" s="34">
        <f>(MAX(AB32:AC32)+MAX(AD32:AE32))/AJ32</f>
      </c>
      <c r="AM32" s="33">
        <f>(MAX(AB32:AC32)+MAX(AD32:AE32))/AK32</f>
      </c>
      <c r="AN32" s="34">
        <f>MAX(S32:T32)/AJ32</f>
      </c>
      <c r="AO32" s="33">
        <f>MAX(AH32:AI32)/AK32</f>
      </c>
      <c r="AP32" s="12">
        <f>AJ32*$Q$9/1000</f>
      </c>
      <c r="AQ32" s="12">
        <f>AK32*$Q$9/1000</f>
      </c>
      <c r="AR32" s="12">
        <f>(AP32+2)/$C$5</f>
      </c>
      <c r="AS32" s="12">
        <f>(AQ32+2)/$C$5</f>
      </c>
      <c r="AT32" s="12">
        <f>B32*1000/AR32/$F$3</f>
      </c>
      <c r="AU32" s="12">
        <f>B32*1000/AS32/$F$3</f>
      </c>
      <c r="AV32" s="13">
        <f>1000000*$N$8/24/60/60/AT32</f>
      </c>
      <c r="AW32" s="13">
        <f>1000000*$N$8/24/60/60/AU32</f>
      </c>
      <c r="AX32" s="13">
        <f>AV32*$C$6</f>
      </c>
      <c r="AY32" s="13">
        <f>AW32*$C$6</f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</row>
    <row r="33">
      <c r="A33" s="4">
        <f>96*1024</f>
      </c>
      <c r="B33" s="4">
        <v>10</v>
      </c>
      <c r="C33" s="4">
        <f>B33*$F$4*$C$3</f>
      </c>
      <c r="D33" s="12">
        <v>10</v>
      </c>
      <c r="E33" s="12">
        <f>_xlfn.LAMBDA(m,n,k,(m*k+2*m*n+n*k)*1000*1000/$N$3/1024/1024/1024/1024/$K$5)(B33*$C$3,$Q$10,$Q$2)</f>
      </c>
      <c r="F33" s="12">
        <f>_xlfn.LAMBDA(m,n,k, 2*m*n*k*1000*1000/$N$2/1024/1024/1024/1024/$I$2)(B33*$C$3, $Q$3*(128+64)/$F$3, $Q$10)</f>
      </c>
      <c r="G33" s="12">
        <f>_xlfn.LAMBDA(m,n,k,(m*k+2*m*n+n*k)*1000*1000/$N$3/1024/1024/1024/1024/$K$5)(B33*$C$3, $Q$3*(128+64)/$F$3, $Q$10)</f>
      </c>
      <c r="H33" s="12">
        <v>15</v>
      </c>
      <c r="I33" s="12">
        <f>_xlfn.LAMBDA(m,n,k,(m*k+2*m*n+n*k)*1000*1000/$N$3/1024/1024/1024/1024/$K$5)(B33*$C$3,$Q$11*$Q$12,$Q$10)</f>
      </c>
      <c r="J33" s="12">
        <v>15</v>
      </c>
      <c r="K33" s="12">
        <f>_xlfn.LAMBDA(m,n,k,(m*k+2*m*n+n*k)*1000*1000/$N$3/1024/1024/1024/1024/$K$5)(B33*$C$3,$Q$11,$Q$2)</f>
      </c>
      <c r="L33" s="12">
        <v>5</v>
      </c>
      <c r="M33" s="12">
        <f>_xlfn.LAMBDA(m,n,k,(2*m*k+2*m*n+2*n*k)*1000*1000/$N$3/1024/1024/1024/1024/$K$5)(B33*$C$3,$Q$12,$Q$2)</f>
      </c>
      <c r="N33" s="32">
        <f>_xlfn.LAMBDA(seq_len, q_len, bs, seq_len*q_len*bs*2*($Q$12*$Q$11/$N$5 + $Q$12 / $N$7)*1000*1000/1024/1024/1024/1024/$K$6)(A33,$C$3,B33)</f>
      </c>
      <c r="O33" s="32">
        <f>_xlfn.LAMBDA(seq_len, q_len, bs, (q_len*bs*$Q$12*$Q$11 + seq_len * bs * $Q$11 + q_len*bs*$Q$12*4)*1000*1000/1024/1024/1024/1024/$N$3/$K$5)(A33,$C$3,B33)</f>
      </c>
      <c r="P33" s="12">
        <f>_xlfn.LAMBDA(b, m,n,k, 2*b*m*n*k*1000*1000/$N$7/1024/1024/1024/1024/$I$2)($Q$3, B33*$C$3, 128, $Q$7)</f>
      </c>
      <c r="Q33" s="12">
        <f>_xlfn.LAMBDA(b,m,n,k,b*(2*m*k+2*m*n+2*n*k)*1000*1000/$N$3/1024/1024/1024/1024/$K$5)($Q$3, B33*$C$3, 128, $Q$7)</f>
      </c>
      <c r="R33" s="12">
        <v>10</v>
      </c>
      <c r="S33" s="32">
        <f>_xlfn.LAMBDA(seq_len, q_len, bs, seq_len*q_len*bs*2*$Q$3/$F$3*($Q$6 + $Q$7)*1000*1000/1024/1024/1024/1024/$N$7/$K$6)(MIN(A33,$Q$13),$C$3,B33)</f>
      </c>
      <c r="T33" s="32">
        <f>_xlfn.LAMBDA(seq_len, q_len, bs, seq_len*bs*$U$15*($Q$6 + $Q$7)*1000*1000/1024/1024/1024/1024/$N$3/$K$5)(MIN(A33,$Q$13),$C$3,B33)</f>
      </c>
      <c r="U33" s="12">
        <f>_xlfn.LAMBDA(b, m,n,k, 2*b*m*n*k*1000*1000/$N$7/1024/1024/1024/1024/$I$2)($Q$3, B33*$C$3, 128, $Q$7)</f>
      </c>
      <c r="V33" s="12">
        <f>_xlfn.LAMBDA(b,m,n,k,b*(2*m*k+2*m*n+2*n*k)*1000*1000/$N$3/1024/1024/1024/1024/$K$5)($Q$3, B33*$C$3, 128, $Q$7)</f>
      </c>
      <c r="W33" s="12">
        <f>_xlfn.LAMBDA(m,n,k, 2*m*n*k*1000*1000/$N$2/1024/1024/1024/1024/$K$2)(B33*$C$3, $Q$3*128/$F$3, $Q$2)</f>
      </c>
      <c r="X33" s="12">
        <f>_xlfn.LAMBDA(m,n,k,(m*k+2*m*n+n*k)*1000*1000/$N$3/1024/1024/1024/1024/$K$5)(B33*$C$3, $Q$3*128/$F$3, $Q$2)</f>
      </c>
      <c r="Y33" s="12">
        <f>150 + $B33 *$C$3 * 2.3</f>
      </c>
      <c r="Z33" s="12">
        <f>_xlfn.LAMBDA(tp_size, hidden_size, batch_size, 2*batch_size*(tp_size-1)/tp_size*hidden_size*1000*1000/$N$4/1024/1024/1024/$I$6)($F$3, $Q$2,B33*$C$3)</f>
      </c>
      <c r="AA33" s="12">
        <f>_xlfn.LAMBDA(token_size_per_rank, to_nodes,hidden_size, sizeof_dtype, 50 + 4*token_size_per_rank * to_nodes * hidden_size*sizeof_dtype*1000*1000/$N$6/1024/1024/1024/$I$7)(B33*$C$5/$F$3, MIN($F$2,$S$2), $Q$2, 1)</f>
      </c>
      <c r="AB33" s="12">
        <f>_xlfn.LAMBDA(m,n,k, 2*m*n*k*1000*1000/$N$2/1024/1024/1024/1024/$I$3)(C33*$S$2/$F$5,$Q$8*2,$Q$2)</f>
      </c>
      <c r="AC33" s="36">
        <f>_xlfn.LAMBDA(size_of_dtype, experts, ep_size, hidden_size, internal_dim, experts/ep_size*hidden_size*internal_dim*size_of_dtype/$N$3/$K$5/1024/1024/1024/1024*1000*1000)($Y$12,$S$3,$F$5,$Q$2,$Q$8*2)</f>
      </c>
      <c r="AD33" s="12">
        <f>_xlfn.LAMBDA(m,n,k, 2*m*n*k*1000*1000/$N$2/1024/1024/1024/1024/$I$3)(C33*$S$2/$F$5,$Q$2,$Q$8)</f>
      </c>
      <c r="AE33" s="36">
        <f>_xlfn.LAMBDA(size_of_dtype, experts, ep_size, hidden_size, internal_dim, experts/ep_size*hidden_size*internal_dim*size_of_dtype/$N$3/$K$5/1024/1024/1024/1024*1000*1000)($Y$12,$S$3,$F$5,$Q$8, $Q$2)</f>
      </c>
      <c r="AF33" s="12">
        <f>AA33</f>
      </c>
      <c r="AG33" s="12">
        <f>_xlfn.LAMBDA(tp_size, hidden_size, batch_size, batch_size*(tp_size-1)*hidden_size*1000*1000/$N$4/1024/1024/1024/$I$6)($F$3, $Q$2,B33*$C$3)</f>
      </c>
      <c r="AH33" s="32">
        <f>_xlfn.LAMBDA(seq_len, q_len, bs, 2*seq_len*q_len*bs*2*$Q$3/$F$3*($Q$6 + $Q$7)*1000*1000/1024/1024/1024/1024/$N$5/$I$5)(A33,$C$3,B33)</f>
      </c>
      <c r="AI33" s="32">
        <f>_xlfn.LAMBDA(seq_len, q_len, bs, seq_len*bs*($Q$6 + $Q$7)*1000*1000/1024/1024/1024/1024/$N$3/$K$5)(A33,$C$3,B33)</f>
      </c>
      <c r="AJ33" s="12">
        <f>MAX(D33:E33)+MAX(F33:G33)+MAX(H33:I33)+MAX(J33:K33)+MAX(L33:M33)+MAX(N33:O33)+MAX(P33:Q33)+MAX(R33:S33)+MAX(S33:T33)+MAX(U33:V33)+MAX(W33:X33)+MAX(AB33:AC33)+MAX(AD33:AE33)+SUM(Y33:AA33)+SUM(AF33:AG33)</f>
      </c>
      <c r="AK33" s="35">
        <f>AJ33-MAX(J33:K33)-MAX(L33:M33)-MAX(N33:O33)-MAX(H33:I33)-MAX(S33:T33)+MAX(AH33:AI33)-0.05*AJ33</f>
      </c>
      <c r="AL33" s="34">
        <f>(MAX(AB33:AC33)+MAX(AD33:AE33))/AJ33</f>
      </c>
      <c r="AM33" s="33">
        <f>(MAX(AB33:AC33)+MAX(AD33:AE33))/AK33</f>
      </c>
      <c r="AN33" s="34">
        <f>MAX(S33:T33)/AJ33</f>
      </c>
      <c r="AO33" s="33">
        <f>MAX(AH33:AI33)/AK33</f>
      </c>
      <c r="AP33" s="12">
        <f>AJ33*$Q$9/1000</f>
      </c>
      <c r="AQ33" s="12">
        <f>AK33*$Q$9/1000</f>
      </c>
      <c r="AR33" s="12">
        <f>(AP33+2)/$C$5</f>
      </c>
      <c r="AS33" s="12">
        <f>(AQ33+2)/$C$5</f>
      </c>
      <c r="AT33" s="12">
        <f>B33*1000/AR33/$F$3</f>
      </c>
      <c r="AU33" s="12">
        <f>B33*1000/AS33/$F$3</f>
      </c>
      <c r="AV33" s="13">
        <f>1000000*$N$8/24/60/60/AT33</f>
      </c>
      <c r="AW33" s="13">
        <f>1000000*$N$8/24/60/60/AU33</f>
      </c>
      <c r="AX33" s="13">
        <f>AV33*$C$6</f>
      </c>
      <c r="AY33" s="13">
        <f>AW33*$C$6</f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</row>
    <row r="34">
      <c r="A34" s="4">
        <f>128*1024</f>
      </c>
      <c r="B34" s="4">
        <v>10</v>
      </c>
      <c r="C34" s="4">
        <f>B34*$F$4*$C$3</f>
      </c>
      <c r="D34" s="12">
        <v>10</v>
      </c>
      <c r="E34" s="12">
        <f>_xlfn.LAMBDA(m,n,k,(m*k+2*m*n+n*k)*1000*1000/$N$3/1024/1024/1024/1024/$K$5)(B34*$C$3,$Q$10,$Q$2)</f>
      </c>
      <c r="F34" s="12">
        <f>_xlfn.LAMBDA(m,n,k, 2*m*n*k*1000*1000/$N$2/1024/1024/1024/1024/$I$2)(B34*$C$3, $Q$3*(128+64)/$F$3, $Q$10)</f>
      </c>
      <c r="G34" s="12">
        <f>_xlfn.LAMBDA(m,n,k,(m*k+2*m*n+n*k)*1000*1000/$N$3/1024/1024/1024/1024/$K$5)(B34*$C$3, $Q$3*(128+64)/$F$3, $Q$10)</f>
      </c>
      <c r="H34" s="12">
        <v>15</v>
      </c>
      <c r="I34" s="12">
        <f>_xlfn.LAMBDA(m,n,k,(m*k+2*m*n+n*k)*1000*1000/$N$3/1024/1024/1024/1024/$K$5)(B34*$C$3,$Q$11*$Q$12,$Q$10)</f>
      </c>
      <c r="J34" s="12">
        <v>15</v>
      </c>
      <c r="K34" s="12">
        <f>_xlfn.LAMBDA(m,n,k,(m*k+2*m*n+n*k)*1000*1000/$N$3/1024/1024/1024/1024/$K$5)(B34*$C$3,$Q$11,$Q$2)</f>
      </c>
      <c r="L34" s="12">
        <v>5</v>
      </c>
      <c r="M34" s="12">
        <f>_xlfn.LAMBDA(m,n,k,(2*m*k+2*m*n+2*n*k)*1000*1000/$N$3/1024/1024/1024/1024/$K$5)(B34*$C$3,$Q$12,$Q$2)</f>
      </c>
      <c r="N34" s="32">
        <f>_xlfn.LAMBDA(seq_len, q_len, bs, seq_len*q_len*bs*2*($Q$12*$Q$11/$N$5 + $Q$12 / $N$7)*1000*1000/1024/1024/1024/1024/$K$6)(A34,$C$3,B34)</f>
      </c>
      <c r="O34" s="32">
        <f>_xlfn.LAMBDA(seq_len, q_len, bs, (q_len*bs*$Q$12*$Q$11 + seq_len * bs * $Q$11 + q_len*bs*$Q$12*4)*1000*1000/1024/1024/1024/1024/$N$3/$K$5)(A34,$C$3,B34)</f>
      </c>
      <c r="P34" s="12">
        <f>_xlfn.LAMBDA(b, m,n,k, 2*b*m*n*k*1000*1000/$N$7/1024/1024/1024/1024/$I$2)($Q$3, B34*$C$3, 128, $Q$7)</f>
      </c>
      <c r="Q34" s="12">
        <f>_xlfn.LAMBDA(b,m,n,k,b*(2*m*k+2*m*n+2*n*k)*1000*1000/$N$3/1024/1024/1024/1024/$K$5)($Q$3, B34*$C$3, 128, $Q$7)</f>
      </c>
      <c r="R34" s="12">
        <v>10</v>
      </c>
      <c r="S34" s="32">
        <f>_xlfn.LAMBDA(seq_len, q_len, bs, seq_len*q_len*bs*2*$Q$3/$F$3*($Q$6 + $Q$7)*1000*1000/1024/1024/1024/1024/$N$7/$K$6)(MIN(A34,$Q$13),$C$3,B34)</f>
      </c>
      <c r="T34" s="32">
        <f>_xlfn.LAMBDA(seq_len, q_len, bs, seq_len*bs*$U$15*($Q$6 + $Q$7)*1000*1000/1024/1024/1024/1024/$N$3/$K$5)(MIN(A34,$Q$13),$C$3,B34)</f>
      </c>
      <c r="U34" s="12">
        <f>_xlfn.LAMBDA(b, m,n,k, 2*b*m*n*k*1000*1000/$N$7/1024/1024/1024/1024/$I$2)($Q$3, B34*$C$3, 128, $Q$7)</f>
      </c>
      <c r="V34" s="12">
        <f>_xlfn.LAMBDA(b,m,n,k,b*(2*m*k+2*m*n+2*n*k)*1000*1000/$N$3/1024/1024/1024/1024/$K$5)($Q$3, B34*$C$3, 128, $Q$7)</f>
      </c>
      <c r="W34" s="12">
        <f>_xlfn.LAMBDA(m,n,k, 2*m*n*k*1000*1000/$N$2/1024/1024/1024/1024/$K$2)(B34*$C$3, $Q$3*128/$F$3, $Q$2)</f>
      </c>
      <c r="X34" s="12">
        <f>_xlfn.LAMBDA(m,n,k,(m*k+2*m*n+n*k)*1000*1000/$N$3/1024/1024/1024/1024/$K$5)(B34*$C$3, $Q$3*128/$F$3, $Q$2)</f>
      </c>
      <c r="Y34" s="12">
        <f>150 + $B34 *$C$3 * 2.3</f>
      </c>
      <c r="Z34" s="12">
        <f>_xlfn.LAMBDA(tp_size, hidden_size, batch_size, 2*batch_size*(tp_size-1)/tp_size*hidden_size*1000*1000/$N$4/1024/1024/1024/$I$6)($F$3, $Q$2,B34*$C$3)</f>
      </c>
      <c r="AA34" s="12">
        <f>_xlfn.LAMBDA(token_size_per_rank, to_nodes,hidden_size, sizeof_dtype, 50 + 4*token_size_per_rank * to_nodes * hidden_size*sizeof_dtype*1000*1000/$N$6/1024/1024/1024/$I$7)(B34*$C$5/$F$3, MIN($F$2,$S$2), $Q$2, 1)</f>
      </c>
      <c r="AB34" s="12">
        <f>_xlfn.LAMBDA(m,n,k, 2*m*n*k*1000*1000/$N$2/1024/1024/1024/1024/$I$3)(C34*$S$2/$F$5,$Q$8*2,$Q$2)</f>
      </c>
      <c r="AC34" s="36">
        <f>_xlfn.LAMBDA(size_of_dtype, experts, ep_size, hidden_size, internal_dim, experts/ep_size*hidden_size*internal_dim*size_of_dtype/$N$3/$K$5/1024/1024/1024/1024*1000*1000)($Y$12,$S$3,$F$5,$Q$2,$Q$8*2)</f>
      </c>
      <c r="AD34" s="12">
        <f>_xlfn.LAMBDA(m,n,k, 2*m*n*k*1000*1000/$N$2/1024/1024/1024/1024/$I$3)(C34*$S$2/$F$5,$Q$2,$Q$8)</f>
      </c>
      <c r="AE34" s="36">
        <f>_xlfn.LAMBDA(size_of_dtype, experts, ep_size, hidden_size, internal_dim, experts/ep_size*hidden_size*internal_dim*size_of_dtype/$N$3/$K$5/1024/1024/1024/1024*1000*1000)($Y$12,$S$3,$F$5,$Q$8, $Q$2)</f>
      </c>
      <c r="AF34" s="12">
        <f>AA34</f>
      </c>
      <c r="AG34" s="12">
        <f>_xlfn.LAMBDA(tp_size, hidden_size, batch_size, batch_size*(tp_size-1)*hidden_size*1000*1000/$N$4/1024/1024/1024/$I$6)($F$3, $Q$2,B34*$C$3)</f>
      </c>
      <c r="AH34" s="32">
        <f>_xlfn.LAMBDA(seq_len, q_len, bs, 2*seq_len*q_len*bs*2*$Q$3/$F$3*($Q$6 + $Q$7)*1000*1000/1024/1024/1024/1024/$N$5/$I$5)(A34,$C$3,B34)</f>
      </c>
      <c r="AI34" s="32">
        <f>_xlfn.LAMBDA(seq_len, q_len, bs, seq_len*bs*($Q$6 + $Q$7)*1000*1000/1024/1024/1024/1024/$N$3/$K$5)(A34,$C$3,B34)</f>
      </c>
      <c r="AJ34" s="12">
        <f>MAX(D34:E34)+MAX(F34:G34)+MAX(H34:I34)+MAX(J34:K34)+MAX(L34:M34)+MAX(N34:O34)+MAX(P34:Q34)+MAX(R34:S34)+MAX(S34:T34)+MAX(U34:V34)+MAX(W34:X34)+MAX(AB34:AC34)+MAX(AD34:AE34)+SUM(Y34:AA34)+SUM(AF34:AG34)</f>
      </c>
      <c r="AK34" s="35">
        <f>AJ34-MAX(J34:K34)-MAX(L34:M34)-MAX(N34:O34)-MAX(H34:I34)-MAX(S34:T34)+MAX(AH34:AI34)-0.05*AJ34</f>
      </c>
      <c r="AL34" s="34">
        <f>(MAX(AB34:AC34)+MAX(AD34:AE34))/AJ34</f>
      </c>
      <c r="AM34" s="33">
        <f>(MAX(AB34:AC34)+MAX(AD34:AE34))/AK34</f>
      </c>
      <c r="AN34" s="34">
        <f>MAX(S34:T34)/AJ34</f>
      </c>
      <c r="AO34" s="33">
        <f>MAX(AH34:AI34)/AK34</f>
      </c>
      <c r="AP34" s="12">
        <f>AJ34*$Q$9/1000</f>
      </c>
      <c r="AQ34" s="12">
        <f>AK34*$Q$9/1000</f>
      </c>
      <c r="AR34" s="12">
        <f>(AP34+2)/$C$5</f>
      </c>
      <c r="AS34" s="12">
        <f>(AQ34+2)/$C$5</f>
      </c>
      <c r="AT34" s="12">
        <f>B34*1000/AR34/$F$3</f>
      </c>
      <c r="AU34" s="12">
        <f>B34*1000/AS34/$F$3</f>
      </c>
      <c r="AV34" s="13">
        <f>1000000*$N$8/24/60/60/AT34</f>
      </c>
      <c r="AW34" s="13">
        <f>1000000*$N$8/24/60/60/AU34</f>
      </c>
      <c r="AX34" s="13">
        <f>AV34*$C$6</f>
      </c>
      <c r="AY34" s="13">
        <f>AW34*$C$6</f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</row>
    <row r="35">
      <c r="A35" s="4">
        <f>192*1024</f>
      </c>
      <c r="B35" s="4">
        <v>10</v>
      </c>
      <c r="C35" s="4">
        <f>B35*$F$4*$C$3</f>
      </c>
      <c r="D35" s="12">
        <v>10</v>
      </c>
      <c r="E35" s="12">
        <f>_xlfn.LAMBDA(m,n,k,(m*k+2*m*n+n*k)*1000*1000/$N$3/1024/1024/1024/1024/$K$5)(B35*$C$3,$Q$10,$Q$2)</f>
      </c>
      <c r="F35" s="12">
        <f>_xlfn.LAMBDA(m,n,k, 2*m*n*k*1000*1000/$N$2/1024/1024/1024/1024/$I$2)(B35*$C$3, $Q$3*(128+64)/$F$3, $Q$10)</f>
      </c>
      <c r="G35" s="12">
        <f>_xlfn.LAMBDA(m,n,k,(m*k+2*m*n+n*k)*1000*1000/$N$3/1024/1024/1024/1024/$K$5)(B35*$C$3, $Q$3*(128+64)/$F$3, $Q$10)</f>
      </c>
      <c r="H35" s="12">
        <v>15</v>
      </c>
      <c r="I35" s="12">
        <f>_xlfn.LAMBDA(m,n,k,(m*k+2*m*n+n*k)*1000*1000/$N$3/1024/1024/1024/1024/$K$5)(B35*$C$3,$Q$11*$Q$12,$Q$10)</f>
      </c>
      <c r="J35" s="12">
        <v>15</v>
      </c>
      <c r="K35" s="12">
        <f>_xlfn.LAMBDA(m,n,k,(m*k+2*m*n+n*k)*1000*1000/$N$3/1024/1024/1024/1024/$K$5)(B35*$C$3,$Q$11,$Q$2)</f>
      </c>
      <c r="L35" s="12">
        <v>5</v>
      </c>
      <c r="M35" s="12">
        <f>_xlfn.LAMBDA(m,n,k,(2*m*k+2*m*n+2*n*k)*1000*1000/$N$3/1024/1024/1024/1024/$K$5)(B35*$C$3,$Q$12,$Q$2)</f>
      </c>
      <c r="N35" s="32">
        <f>_xlfn.LAMBDA(seq_len, q_len, bs, seq_len*q_len*bs*2*($Q$12*$Q$11/$N$5 + $Q$12 / $N$7)*1000*1000/1024/1024/1024/1024/$K$6)(A35,$C$3,B35)</f>
      </c>
      <c r="O35" s="32">
        <f>_xlfn.LAMBDA(seq_len, q_len, bs, (q_len*bs*$Q$12*$Q$11 + seq_len * bs * $Q$11 + q_len*bs*$Q$12*4)*1000*1000/1024/1024/1024/1024/$N$3/$K$5)(A35,$C$3,B35)</f>
      </c>
      <c r="P35" s="12">
        <f>_xlfn.LAMBDA(b, m,n,k, 2*b*m*n*k*1000*1000/$N$7/1024/1024/1024/1024/$I$2)($Q$3, B35*$C$3, 128, $Q$7)</f>
      </c>
      <c r="Q35" s="12">
        <f>_xlfn.LAMBDA(b,m,n,k,b*(2*m*k+2*m*n+2*n*k)*1000*1000/$N$3/1024/1024/1024/1024/$K$5)($Q$3, B35*$C$3, 128, $Q$7)</f>
      </c>
      <c r="R35" s="12">
        <v>10</v>
      </c>
      <c r="S35" s="32">
        <f>_xlfn.LAMBDA(seq_len, q_len, bs, seq_len*q_len*bs*2*$Q$3/$F$3*($Q$6 + $Q$7)*1000*1000/1024/1024/1024/1024/$N$7/$K$6)(MIN(A35,$Q$13),$C$3,B35)</f>
      </c>
      <c r="T35" s="32">
        <f>_xlfn.LAMBDA(seq_len, q_len, bs, seq_len*bs*$U$15*($Q$6 + $Q$7)*1000*1000/1024/1024/1024/1024/$N$3/$K$5)(MIN(A35,$Q$13),$C$3,B35)</f>
      </c>
      <c r="U35" s="12">
        <f>_xlfn.LAMBDA(b, m,n,k, 2*b*m*n*k*1000*1000/$N$7/1024/1024/1024/1024/$I$2)($Q$3, B35*$C$3, 128, $Q$7)</f>
      </c>
      <c r="V35" s="12">
        <f>_xlfn.LAMBDA(b,m,n,k,b*(2*m*k+2*m*n+2*n*k)*1000*1000/$N$3/1024/1024/1024/1024/$K$5)($Q$3, B35*$C$3, 128, $Q$7)</f>
      </c>
      <c r="W35" s="12">
        <f>_xlfn.LAMBDA(m,n,k, 2*m*n*k*1000*1000/$N$2/1024/1024/1024/1024/$K$2)(B35*$C$3, $Q$3*128/$F$3, $Q$2)</f>
      </c>
      <c r="X35" s="12">
        <f>_xlfn.LAMBDA(m,n,k,(m*k+2*m*n+n*k)*1000*1000/$N$3/1024/1024/1024/1024/$K$5)(B35*$C$3, $Q$3*128/$F$3, $Q$2)</f>
      </c>
      <c r="Y35" s="12">
        <f>150 + $B35 *$C$3 * 2.3</f>
      </c>
      <c r="Z35" s="12">
        <f>_xlfn.LAMBDA(tp_size, hidden_size, batch_size, 2*batch_size*(tp_size-1)/tp_size*hidden_size*1000*1000/$N$4/1024/1024/1024/$I$6)($F$3, $Q$2,B35*$C$3)</f>
      </c>
      <c r="AA35" s="12">
        <f>_xlfn.LAMBDA(token_size_per_rank, to_nodes,hidden_size, sizeof_dtype, 50 + 4*token_size_per_rank * to_nodes * hidden_size*sizeof_dtype*1000*1000/$N$6/1024/1024/1024/$I$7)(B35*$C$5/$F$3, MIN($F$2,$S$2), $Q$2, 1)</f>
      </c>
      <c r="AB35" s="12">
        <f>_xlfn.LAMBDA(m,n,k, 2*m*n*k*1000*1000/$N$2/1024/1024/1024/1024/$I$3)(C35*$S$2/$F$5,$Q$8*2,$Q$2)</f>
      </c>
      <c r="AC35" s="36">
        <f>_xlfn.LAMBDA(size_of_dtype, experts, ep_size, hidden_size, internal_dim, experts/ep_size*hidden_size*internal_dim*size_of_dtype/$N$3/$K$5/1024/1024/1024/1024*1000*1000)($Y$12,$S$3,$F$5,$Q$2,$Q$8*2)</f>
      </c>
      <c r="AD35" s="12">
        <f>_xlfn.LAMBDA(m,n,k, 2*m*n*k*1000*1000/$N$2/1024/1024/1024/1024/$I$3)(C35*$S$2/$F$5,$Q$2,$Q$8)</f>
      </c>
      <c r="AE35" s="36">
        <f>_xlfn.LAMBDA(size_of_dtype, experts, ep_size, hidden_size, internal_dim, experts/ep_size*hidden_size*internal_dim*size_of_dtype/$N$3/$K$5/1024/1024/1024/1024*1000*1000)($Y$12,$S$3,$F$5,$Q$8, $Q$2)</f>
      </c>
      <c r="AF35" s="12">
        <f>AA35</f>
      </c>
      <c r="AG35" s="12">
        <f>_xlfn.LAMBDA(tp_size, hidden_size, batch_size, batch_size*(tp_size-1)*hidden_size*1000*1000/$N$4/1024/1024/1024/$I$6)($F$3, $Q$2,B35*$C$3)</f>
      </c>
      <c r="AH35" s="32">
        <f>_xlfn.LAMBDA(seq_len, q_len, bs, 2*seq_len*q_len*bs*2*$Q$3/$F$3*($Q$6 + $Q$7)*1000*1000/1024/1024/1024/1024/$N$5/$I$5)(A35,$C$3,B35)</f>
      </c>
      <c r="AI35" s="32">
        <f>_xlfn.LAMBDA(seq_len, q_len, bs, seq_len*bs*($Q$6 + $Q$7)*1000*1000/1024/1024/1024/1024/$N$3/$K$5)(A35,$C$3,B35)</f>
      </c>
      <c r="AJ35" s="12">
        <f>MAX(D35:E35)+MAX(F35:G35)+MAX(H35:I35)+MAX(J35:K35)+MAX(L35:M35)+MAX(N35:O35)+MAX(P35:Q35)+MAX(R35:S35)+MAX(S35:T35)+MAX(U35:V35)+MAX(W35:X35)+MAX(AB35:AC35)+MAX(AD35:AE35)+SUM(Y35:AA35)+SUM(AF35:AG35)</f>
      </c>
      <c r="AK35" s="35">
        <f>AJ35-MAX(J35:K35)-MAX(L35:M35)-MAX(N35:O35)-MAX(H35:I35)-MAX(S35:T35)+MAX(AH35:AI35)-0.05*AJ35</f>
      </c>
      <c r="AL35" s="34">
        <f>(MAX(AB35:AC35)+MAX(AD35:AE35))/AJ35</f>
      </c>
      <c r="AM35" s="33">
        <f>(MAX(AB35:AC35)+MAX(AD35:AE35))/AK35</f>
      </c>
      <c r="AN35" s="34">
        <f>MAX(S35:T35)/AJ35</f>
      </c>
      <c r="AO35" s="33">
        <f>MAX(AH35:AI35)/AK35</f>
      </c>
      <c r="AP35" s="12">
        <f>AJ35*$Q$9/1000</f>
      </c>
      <c r="AQ35" s="12">
        <f>AK35*$Q$9/1000</f>
      </c>
      <c r="AR35" s="12">
        <f>(AP35+2)/$C$5</f>
      </c>
      <c r="AS35" s="12">
        <f>(AQ35+2)/$C$5</f>
      </c>
      <c r="AT35" s="12">
        <f>B35*1000/AR35/$F$3</f>
      </c>
      <c r="AU35" s="12">
        <f>B35*1000/AS35/$F$3</f>
      </c>
      <c r="AV35" s="13">
        <f>1000000*$N$8/24/60/60/AT35</f>
      </c>
      <c r="AW35" s="13">
        <f>1000000*$N$8/24/60/60/AU35</f>
      </c>
      <c r="AX35" s="13">
        <f>AV35*$C$6</f>
      </c>
      <c r="AY35" s="13">
        <f>AW35*$C$6</f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</row>
    <row r="36">
      <c r="A36" s="4">
        <f>256*1024</f>
      </c>
      <c r="B36" s="4">
        <v>10</v>
      </c>
      <c r="C36" s="4">
        <f>B36*$F$4*$C$3</f>
      </c>
      <c r="D36" s="12">
        <v>10</v>
      </c>
      <c r="E36" s="12">
        <f>_xlfn.LAMBDA(m,n,k,(m*k+2*m*n+n*k)*1000*1000/$N$3/1024/1024/1024/1024/$K$5)(B36*$C$3,$Q$10,$Q$2)</f>
      </c>
      <c r="F36" s="12">
        <f>_xlfn.LAMBDA(m,n,k, 2*m*n*k*1000*1000/$N$2/1024/1024/1024/1024/$I$2)(B36*$C$3, $Q$3*(128+64)/$F$3, $Q$10)</f>
      </c>
      <c r="G36" s="12">
        <f>_xlfn.LAMBDA(m,n,k,(m*k+2*m*n+n*k)*1000*1000/$N$3/1024/1024/1024/1024/$K$5)(B36*$C$3, $Q$3*(128+64)/$F$3, $Q$10)</f>
      </c>
      <c r="H36" s="12">
        <v>15</v>
      </c>
      <c r="I36" s="12">
        <f>_xlfn.LAMBDA(m,n,k,(m*k+2*m*n+n*k)*1000*1000/$N$3/1024/1024/1024/1024/$K$5)(B36*$C$3,$Q$11*$Q$12,$Q$10)</f>
      </c>
      <c r="J36" s="12">
        <v>15</v>
      </c>
      <c r="K36" s="12">
        <f>_xlfn.LAMBDA(m,n,k,(m*k+2*m*n+n*k)*1000*1000/$N$3/1024/1024/1024/1024/$K$5)(B36*$C$3,$Q$11,$Q$2)</f>
      </c>
      <c r="L36" s="12">
        <v>5</v>
      </c>
      <c r="M36" s="12">
        <f>_xlfn.LAMBDA(m,n,k,(2*m*k+2*m*n+2*n*k)*1000*1000/$N$3/1024/1024/1024/1024/$K$5)(B36*$C$3,$Q$12,$Q$2)</f>
      </c>
      <c r="N36" s="32">
        <f>_xlfn.LAMBDA(seq_len, q_len, bs, seq_len*q_len*bs*2*($Q$12*$Q$11/$N$5 + $Q$12 / $N$7)*1000*1000/1024/1024/1024/1024/$K$6)(A36,$C$3,B36)</f>
      </c>
      <c r="O36" s="32">
        <f>_xlfn.LAMBDA(seq_len, q_len, bs, (q_len*bs*$Q$12*$Q$11 + seq_len * bs * $Q$11 + q_len*bs*$Q$12*4)*1000*1000/1024/1024/1024/1024/$N$3/$K$5)(A36,$C$3,B36)</f>
      </c>
      <c r="P36" s="12">
        <f>_xlfn.LAMBDA(b, m,n,k, 2*b*m*n*k*1000*1000/$N$7/1024/1024/1024/1024/$I$2)($Q$3, B36*$C$3, 128, $Q$7)</f>
      </c>
      <c r="Q36" s="12">
        <f>_xlfn.LAMBDA(b,m,n,k,b*(2*m*k+2*m*n+2*n*k)*1000*1000/$N$3/1024/1024/1024/1024/$K$5)($Q$3, B36*$C$3, 128, $Q$7)</f>
      </c>
      <c r="R36" s="12">
        <v>10</v>
      </c>
      <c r="S36" s="32">
        <f>_xlfn.LAMBDA(seq_len, q_len, bs, seq_len*q_len*bs*2*$Q$3/$F$3*($Q$6 + $Q$7)*1000*1000/1024/1024/1024/1024/$N$7/$K$6)(MIN(A36,$Q$13),$C$3,B36)</f>
      </c>
      <c r="T36" s="32">
        <f>_xlfn.LAMBDA(seq_len, q_len, bs, seq_len*bs*$U$15*($Q$6 + $Q$7)*1000*1000/1024/1024/1024/1024/$N$3/$K$5)(MIN(A36,$Q$13),$C$3,B36)</f>
      </c>
      <c r="U36" s="12">
        <f>_xlfn.LAMBDA(b, m,n,k, 2*b*m*n*k*1000*1000/$N$7/1024/1024/1024/1024/$I$2)($Q$3, B36*$C$3, 128, $Q$7)</f>
      </c>
      <c r="V36" s="12">
        <f>_xlfn.LAMBDA(b,m,n,k,b*(2*m*k+2*m*n+2*n*k)*1000*1000/$N$3/1024/1024/1024/1024/$K$5)($Q$3, B36*$C$3, 128, $Q$7)</f>
      </c>
      <c r="W36" s="12">
        <f>_xlfn.LAMBDA(m,n,k, 2*m*n*k*1000*1000/$N$2/1024/1024/1024/1024/$K$2)(B36*$C$3, $Q$3*128/$F$3, $Q$2)</f>
      </c>
      <c r="X36" s="12">
        <f>_xlfn.LAMBDA(m,n,k,(m*k+2*m*n+n*k)*1000*1000/$N$3/1024/1024/1024/1024/$K$5)(B36*$C$3, $Q$3*128/$F$3, $Q$2)</f>
      </c>
      <c r="Y36" s="12">
        <f>150 + $B36 *$C$3 * 2.3</f>
      </c>
      <c r="Z36" s="12">
        <f>_xlfn.LAMBDA(tp_size, hidden_size, batch_size, 2*batch_size*(tp_size-1)/tp_size*hidden_size*1000*1000/$N$4/1024/1024/1024/$I$6)($F$3, $Q$2,B36*$C$3)</f>
      </c>
      <c r="AA36" s="12">
        <f>_xlfn.LAMBDA(token_size_per_rank, to_nodes,hidden_size, sizeof_dtype, 50 + 4*token_size_per_rank * to_nodes * hidden_size*sizeof_dtype*1000*1000/$N$6/1024/1024/1024/$I$7)(B36*$C$5/$F$3, MIN($F$2,$S$2), $Q$2, 1)</f>
      </c>
      <c r="AB36" s="12">
        <f>_xlfn.LAMBDA(m,n,k, 2*m*n*k*1000*1000/$N$2/1024/1024/1024/1024/$I$3)(C36*$S$2/$F$5,$Q$8*2,$Q$2)</f>
      </c>
      <c r="AC36" s="36">
        <f>_xlfn.LAMBDA(size_of_dtype, experts, ep_size, hidden_size, internal_dim, experts/ep_size*hidden_size*internal_dim*size_of_dtype/$N$3/$K$5/1024/1024/1024/1024*1000*1000)($Y$12,$S$3,$F$5,$Q$2,$Q$8*2)</f>
      </c>
      <c r="AD36" s="12">
        <f>_xlfn.LAMBDA(m,n,k, 2*m*n*k*1000*1000/$N$2/1024/1024/1024/1024/$I$3)(C36*$S$2/$F$5,$Q$2,$Q$8)</f>
      </c>
      <c r="AE36" s="36">
        <f>_xlfn.LAMBDA(size_of_dtype, experts, ep_size, hidden_size, internal_dim, experts/ep_size*hidden_size*internal_dim*size_of_dtype/$N$3/$K$5/1024/1024/1024/1024*1000*1000)($Y$12,$S$3,$F$5,$Q$8, $Q$2)</f>
      </c>
      <c r="AF36" s="12">
        <f>AA36</f>
      </c>
      <c r="AG36" s="12">
        <f>_xlfn.LAMBDA(tp_size, hidden_size, batch_size, batch_size*(tp_size-1)*hidden_size*1000*1000/$N$4/1024/1024/1024/$I$6)($F$3, $Q$2,B36*$C$3)</f>
      </c>
      <c r="AH36" s="32">
        <f>_xlfn.LAMBDA(seq_len, q_len, bs, 2*seq_len*q_len*bs*2*$Q$3/$F$3*($Q$6 + $Q$7)*1000*1000/1024/1024/1024/1024/$N$5/$I$5)(A36,$C$3,B36)</f>
      </c>
      <c r="AI36" s="32">
        <f>_xlfn.LAMBDA(seq_len, q_len, bs, seq_len*bs*($Q$6 + $Q$7)*1000*1000/1024/1024/1024/1024/$N$3/$K$5)(A36,$C$3,B36)</f>
      </c>
      <c r="AJ36" s="12">
        <f>MAX(D36:E36)+MAX(F36:G36)+MAX(H36:I36)+MAX(J36:K36)+MAX(L36:M36)+MAX(N36:O36)+MAX(P36:Q36)+MAX(R36:S36)+MAX(S36:T36)+MAX(U36:V36)+MAX(W36:X36)+MAX(AB36:AC36)+MAX(AD36:AE36)+SUM(Y36:AA36)+SUM(AF36:AG36)</f>
      </c>
      <c r="AK36" s="35">
        <f>AJ36-MAX(J36:K36)-MAX(L36:M36)-MAX(N36:O36)-MAX(H36:I36)-MAX(S36:T36)+MAX(AH36:AI36)-0.05*AJ36</f>
      </c>
      <c r="AL36" s="34">
        <f>(MAX(AB36:AC36)+MAX(AD36:AE36))/AJ36</f>
      </c>
      <c r="AM36" s="33">
        <f>(MAX(AB36:AC36)+MAX(AD36:AE36))/AK36</f>
      </c>
      <c r="AN36" s="34">
        <f>MAX(S36:T36)/AJ36</f>
      </c>
      <c r="AO36" s="33">
        <f>MAX(AH36:AI36)/AK36</f>
      </c>
      <c r="AP36" s="12">
        <f>AJ36*$Q$9/1000</f>
      </c>
      <c r="AQ36" s="12">
        <f>AK36*$Q$9/1000</f>
      </c>
      <c r="AR36" s="12">
        <f>(AP36+2)/$C$5</f>
      </c>
      <c r="AS36" s="12">
        <f>(AQ36+2)/$C$5</f>
      </c>
      <c r="AT36" s="12">
        <f>B36*1000/AR36/$F$3</f>
      </c>
      <c r="AU36" s="12">
        <f>B36*1000/AS36/$F$3</f>
      </c>
      <c r="AV36" s="13">
        <f>1000000*$N$8/24/60/60/AT36</f>
      </c>
      <c r="AW36" s="13">
        <f>1000000*$N$8/24/60/60/AU36</f>
      </c>
      <c r="AX36" s="13">
        <f>AV36*$C$6</f>
      </c>
      <c r="AY36" s="13">
        <f>AW36*$C$6</f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2"/>
      <c r="AW39" s="2"/>
      <c r="AX39" s="2"/>
      <c r="AY39" s="2"/>
      <c r="AZ39" s="2"/>
      <c r="BA39" s="2"/>
      <c r="BB39" s="2"/>
      <c r="BC39" s="2" t="str">
        <v>输入长度</v>
      </c>
      <c r="BD39" s="2" t="str">
        <v>输出长度</v>
      </c>
      <c r="BE39" s="2" t="str">
        <v>输入价格</v>
      </c>
      <c r="BF39" s="2" t="str">
        <v>输出价格</v>
      </c>
      <c r="BG39" s="2" t="str">
        <v>输入成本</v>
      </c>
      <c r="BH39" s="2" t="str">
        <v>输出成本</v>
      </c>
      <c r="BI39" s="2" t="str">
        <v>毛利率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</row>
    <row r="40">
      <c r="A40" s="16" t="str">
        <v>Prefill 分段成本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2"/>
      <c r="AA40" s="2"/>
      <c r="AB40" s="2"/>
      <c r="AC40" s="2"/>
      <c r="AD40" s="2"/>
      <c r="AE40" s="2"/>
      <c r="AF40" s="2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2"/>
      <c r="AW40" s="2"/>
      <c r="AX40" s="2"/>
      <c r="AY40" s="2"/>
      <c r="AZ40" s="2"/>
      <c r="BA40" s="2"/>
      <c r="BB40" s="2" t="str">
        <v>毛利快速计算器</v>
      </c>
      <c r="BC40" s="2">
        <v>8000</v>
      </c>
      <c r="BD40" s="2">
        <v>800</v>
      </c>
      <c r="BE40" s="2">
        <v>2</v>
      </c>
      <c r="BF40" s="2">
        <v>3</v>
      </c>
      <c r="BG40" s="2">
        <v>1.5</v>
      </c>
      <c r="BH40" s="2">
        <v>2.4</v>
      </c>
      <c r="BI40" s="15">
        <f>((BC40*BE40+BD40*BF40)/1.06-(BC40*BG40+BD40*BH40))/((BC40*BE40+BD40*BF40)/1.06)</f>
      </c>
      <c r="BJ40" s="2"/>
      <c r="BK40" s="2"/>
      <c r="BL40" s="2"/>
      <c r="BM40" s="2"/>
      <c r="BN40" s="2"/>
      <c r="BO40" s="2"/>
      <c r="BP40" s="2"/>
      <c r="BQ40" s="2"/>
      <c r="BR40" s="2"/>
      <c r="BS40" s="2"/>
    </row>
    <row r="41">
      <c r="A41" s="1" t="str">
        <v>序列长度</v>
      </c>
      <c r="B41" s="1" t="str">
        <v>DP BatchSize</v>
      </c>
      <c r="C41" s="1" t="str">
        <v>Global BatchSize</v>
      </c>
      <c r="D41" s="1" t="str">
        <v>q_a_proj 计算耗时</v>
      </c>
      <c r="E41" s="1" t="str">
        <v>q_b_proj_计算耗时</v>
      </c>
      <c r="F41" s="1" t="str">
        <v>q_index_b_proj 计算耗时</v>
      </c>
      <c r="G41" s="1" t="str">
        <v>kv_index_proj 计算耗时</v>
      </c>
      <c r="H41" s="18" t="str">
        <v>index_weight_proj 计算耗时</v>
      </c>
      <c r="I41" s="1" t="str">
        <v>index 计算耗时</v>
      </c>
      <c r="J41" s="1" t="str">
        <v>kv_a_proj 计算耗时</v>
      </c>
      <c r="K41" s="1" t="str">
        <v>kv_b_proj 计算耗时
*bf16</v>
      </c>
      <c r="L41" s="1" t="str">
        <v>attn 计算耗时
*bf16 精度，所以多乘了一个1.8</v>
      </c>
      <c r="M41" s="1" t="str">
        <v>v_b_proj 计算耗时
*bf16</v>
      </c>
      <c r="N41" s="1" t="str">
        <v>o_proj 计算耗时</v>
      </c>
      <c r="O41" s="1" t="str">
        <v>element_wise&amp;topk
*包含 combine_q 等开销</v>
      </c>
      <c r="P41" s="17" t="str">
        <v>all_reduce</v>
      </c>
      <c r="Q41" s="17" t="str">
        <v>ffn0 计算耗时</v>
      </c>
      <c r="R41" s="1" t="str">
        <v>ffn1 计算耗时</v>
      </c>
      <c r="S41" s="1" t="str">
        <v>all_reduce
*包含ep不均损耗</v>
      </c>
      <c r="T41" s="1" t="str">
        <v>all_layer耗时(ms)</v>
      </c>
      <c r="U41" s="1" t="str">
        <v>TTFT</v>
      </c>
      <c r="V41" s="1" t="str">
        <v>预估serving损耗</v>
      </c>
      <c r="W41" s="1" t="str">
        <v>tps/card</v>
      </c>
      <c r="X41" s="1" t="str">
        <v>cost1成本(元/百万Token)</v>
      </c>
      <c r="Y41" s="1" t="str">
        <v>cost3成本(元/百万Token)</v>
      </c>
      <c r="Z41" s="1"/>
      <c r="AA41" s="1"/>
      <c r="AB41" s="2"/>
      <c r="AC41" s="2"/>
      <c r="AD41" s="2"/>
      <c r="AE41" s="2"/>
      <c r="AF41" s="2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2"/>
      <c r="AW41" s="2"/>
      <c r="AX41" s="2"/>
      <c r="AY41" s="2"/>
      <c r="AZ41" s="2"/>
      <c r="BA41" s="2"/>
      <c r="BB41" s="2"/>
      <c r="BC41" s="2">
        <v>8000</v>
      </c>
      <c r="BD41" s="2">
        <v>800</v>
      </c>
      <c r="BE41" s="2">
        <v>2</v>
      </c>
      <c r="BF41" s="2">
        <v>8</v>
      </c>
      <c r="BG41" s="2">
        <v>1.5</v>
      </c>
      <c r="BH41" s="2">
        <v>2.4</v>
      </c>
      <c r="BI41" s="15">
        <f>((BC41*BE41+BD41*BF41)/1.06-(BC41*BG41+BD41*BH41))/((BC41*BE41+BD41*BF41)/1.06)</f>
      </c>
      <c r="BJ41" s="2"/>
      <c r="BK41" s="2"/>
      <c r="BL41" s="2"/>
      <c r="BM41" s="2"/>
      <c r="BN41" s="2"/>
      <c r="BO41" s="2"/>
      <c r="BP41" s="2"/>
      <c r="BQ41" s="2"/>
      <c r="BR41" s="2"/>
      <c r="BS41" s="2"/>
    </row>
    <row r="42">
      <c r="A42" s="1">
        <v>1</v>
      </c>
      <c r="B42" s="1">
        <v>1024</v>
      </c>
      <c r="C42" s="1">
        <f>B42*$F$10</f>
      </c>
      <c r="D42" s="12">
        <f>_xlfn.LAMBDA(m,n,k, 2*m*n*k*1000*1000/$N$2/1024/1024/1024/1024/$I$9)(B42,$Q$10,$Q$2)</f>
      </c>
      <c r="E42" s="12">
        <f>_xlfn.LAMBDA(m,n,k, 2*m*n*k*1000*1000/$N$9/1024/1024/1024/1024/$I$9)(B42, $Q$3*(128+64)/$F$10, $Q$10)</f>
      </c>
      <c r="F42" s="13">
        <f>_xlfn.LAMBDA(m,n,k, 2*m*n*k*1000*1000/$N$9/1024/1024/1024/1024/$I$9)(B42,$Q$11*$Q$12,$Q$10)</f>
      </c>
      <c r="G42" s="11">
        <f>_xlfn.LAMBDA(m,n,k, 2*m*n*k*1000*1000/$N$9/1024/1024/1024/1024/$I$9)(B42,$Q$11,$Q$2)</f>
      </c>
      <c r="H42" s="11">
        <f>_xlfn.LAMBDA(m,n,k, 2*m*n*k*1000*1000/$N$14/1024/1024/1024/1024/$I$9)(B42,$Q$12,$Q$2)</f>
      </c>
      <c r="I42" s="11">
        <f>_xlfn.LAMBDA(seq_len, q_len, bs, 2*seq_len*seq_len/2*($Q$12*$Q$11/$N$12 + $Q$12/$N$14)*1000*1000/1024/1024/1024/1024/$K$13/(seq_len/B42))(A42,$C$3,B42)</f>
      </c>
      <c r="J42" s="11">
        <f>_xlfn.LAMBDA(m,n,k, 2*m*n*k*1000*1000/$N$9/1024/1024/1024/1024/$I$9)(B42,$Q$6,$Q$2)</f>
      </c>
      <c r="K42" s="11">
        <f>_xlfn.LAMBDA(b, m,n,k, 2*b*m*n*k*1000*1000/$N$14/1024/1024/1024/1024/$I$9)($Q$3, B42, 128, $Q$7)</f>
      </c>
      <c r="L42" s="11">
        <f>_xlfn.LAMBDA(seq_len, q_len, bs, (MAX(seq_len - 2048, 0) + seq_len) * 2048 / 2 * 1.8*2*$Q$3/$F$10*($Q$6 + $Q$7)*1000*1000/1000/1000/1000/1000/$N$12/$K$13/(A42/B42))(A42, A42,B42)</f>
      </c>
      <c r="M42" s="11">
        <f>_xlfn.LAMBDA(b, m,n,k, 2*b*m*n*k*1000*1000/$N$14/1024/1024/1024/1024/$I$9)($Q$3,B42, 128, $Q$7)</f>
      </c>
      <c r="N42" s="11">
        <f>_xlfn.LAMBDA(m,n,k, 2*m*n*k*1000*1000/$N$9/1024/1024/1024/1024/$I$9)(B42, $Q$3*128/$F$10, $Q$2)</f>
      </c>
      <c r="O42" s="11">
        <v>2000</v>
      </c>
      <c r="P42" s="11">
        <f>_xlfn.LAMBDA(tp_size, hidden_size, batch_size, 2*batch_size*(tp_size-1)/tp_size*hidden_size*1000*1000/$N$11/1024/1024/1024/$I$13)($F$10, $Q$2,B42)</f>
      </c>
      <c r="Q42" s="11">
        <f>_xlfn.LAMBDA(m,n,k, 2*m*n*k*1000*1000/$N$9/1024/1024/1024/1024/$I$10)(B42*$S$2/$F$12,$Q$8*2,$Q$2)</f>
      </c>
      <c r="R42" s="11">
        <f>_xlfn.LAMBDA(m,n,k, 2*m*n*k*1000*1000/$N$9/1024/1024/1024/1024/$I$10)(B42*$S$2/$F$12,$Q$2,$Q$8)</f>
      </c>
      <c r="S42" s="11">
        <v>0</v>
      </c>
      <c r="T42" s="11">
        <f>CEILING($Q$9/$F$11)*SUM(D42:S42)/1000</f>
      </c>
      <c r="U42" s="11">
        <f>CEILING(A42/B42)*T42+($F$11-1)*T42</f>
      </c>
      <c r="V42" s="11">
        <v>0.8</v>
      </c>
      <c r="W42" s="11">
        <f>B42/(T42/1000)*V42/$F$9/(1-$C$7)</f>
      </c>
      <c r="X42" s="11">
        <f>1000000*$N$15/24/60/60/W42</f>
      </c>
      <c r="Y42" s="11">
        <f>X42*$C$6</f>
      </c>
      <c r="Z42" s="11"/>
      <c r="AA42" s="11"/>
      <c r="AB42" s="2"/>
      <c r="AC42" s="2"/>
      <c r="AD42" s="2"/>
      <c r="AE42" s="2"/>
      <c r="AF42" s="2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>
      <c r="A43" s="1">
        <v>1024</v>
      </c>
      <c r="B43" s="1">
        <v>1024</v>
      </c>
      <c r="C43" s="1">
        <f>B43*$F$10</f>
      </c>
      <c r="D43" s="12">
        <f>_xlfn.LAMBDA(m,n,k, 2*m*n*k*1000*1000/$N$2/1024/1024/1024/1024/$I$9)(B43,$Q$10,$Q$2)</f>
      </c>
      <c r="E43" s="12">
        <f>_xlfn.LAMBDA(m,n,k, 2*m*n*k*1000*1000/$N$9/1024/1024/1024/1024/$I$9)(B43, $Q$3*(128+64)/$F$10, $Q$10)</f>
      </c>
      <c r="F43" s="13">
        <f>_xlfn.LAMBDA(m,n,k, 2*m*n*k*1000*1000/$N$9/1024/1024/1024/1024/$I$9)(B43,$Q$11*$Q$12,$Q$10)</f>
      </c>
      <c r="G43" s="11">
        <f>_xlfn.LAMBDA(m,n,k, 2*m*n*k*1000*1000/$N$9/1024/1024/1024/1024/$I$9)(B43,$Q$11,$Q$2)</f>
      </c>
      <c r="H43" s="11">
        <f>_xlfn.LAMBDA(m,n,k, 2*m*n*k*1000*1000/$N$14/1024/1024/1024/1024/$I$9)(B43,$Q$12,$Q$2)</f>
      </c>
      <c r="I43" s="11">
        <f>_xlfn.LAMBDA(seq_len, q_len, bs, 2*seq_len*seq_len/2*($Q$12*$Q$11/$N$12 + $Q$12/$N$14)*1000*1000/1024/1024/1024/1024/$K$13/(seq_len/B43))(A43,$C$3,B43)</f>
      </c>
      <c r="J43" s="11">
        <f>_xlfn.LAMBDA(m,n,k, 2*m*n*k*1000*1000/$N$9/1024/1024/1024/1024/$I$9)(B43,$Q$6,$Q$2)</f>
      </c>
      <c r="K43" s="11">
        <f>_xlfn.LAMBDA(b, m,n,k, 2*b*m*n*k*1000*1000/$N$14/1024/1024/1024/1024/$I$9)($Q$3, B43, 128, $Q$7)</f>
      </c>
      <c r="L43" s="11">
        <f>_xlfn.LAMBDA(seq_len, q_len, bs, (MAX(seq_len - 2048, 0) + seq_len) * 2048 / 2 * 1.8*2*$Q$3/$F$10*($Q$6 + $Q$7)*1000*1000/1000/1000/1000/1000/$N$12/$K$13/(A43/B43))(A43, A43,B43)</f>
      </c>
      <c r="M43" s="11">
        <f>_xlfn.LAMBDA(b, m,n,k, 2*b*m*n*k*1000*1000/$N$14/1024/1024/1024/1024/$I$9)($Q$3,B43, 128, $Q$7)</f>
      </c>
      <c r="N43" s="11">
        <f>_xlfn.LAMBDA(m,n,k, 2*m*n*k*1000*1000/$N$9/1024/1024/1024/1024/$I$9)(B43, $Q$3*128/$F$10, $Q$2)</f>
      </c>
      <c r="O43" s="11">
        <v>2000</v>
      </c>
      <c r="P43" s="11">
        <f>_xlfn.LAMBDA(tp_size, hidden_size, batch_size, 2*batch_size*(tp_size-1)/tp_size*hidden_size*1000*1000/$N$11/1024/1024/1024/$I$13)($F$10, $Q$2,B43)</f>
      </c>
      <c r="Q43" s="11">
        <f>_xlfn.LAMBDA(m,n,k, 2*m*n*k*1000*1000/$N$9/1024/1024/1024/1024/$I$10)(B43*$S$2/$F$12,$Q$8*2,$Q$2)</f>
      </c>
      <c r="R43" s="11">
        <f>_xlfn.LAMBDA(m,n,k, 2*m*n*k*1000*1000/$N$9/1024/1024/1024/1024/$I$10)(B43*$S$2/$F$12,$Q$2,$Q$8)</f>
      </c>
      <c r="S43" s="11">
        <v>0</v>
      </c>
      <c r="T43" s="11">
        <f>CEILING($Q$9/$F$11)*SUM(D43:S43)/1000</f>
      </c>
      <c r="U43" s="11">
        <f>CEILING(A43/B43)*T43+($F$11-1)*T43</f>
      </c>
      <c r="V43" s="11">
        <v>0.8</v>
      </c>
      <c r="W43" s="11">
        <f>B43/(T43/1000)*V43/$F$9/(1-$C$7)</f>
      </c>
      <c r="X43" s="11">
        <f>1000000*$N$15/24/60/60/W43</f>
      </c>
      <c r="Y43" s="11">
        <f>X43*$C$6</f>
      </c>
      <c r="Z43" s="11"/>
      <c r="AA43" s="11"/>
      <c r="AB43" s="2"/>
      <c r="AC43" s="2"/>
      <c r="AD43" s="2"/>
      <c r="AE43" s="2"/>
      <c r="AF43" s="2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</row>
    <row r="44">
      <c r="A44" s="1">
        <v>2048</v>
      </c>
      <c r="B44" s="1">
        <v>1024</v>
      </c>
      <c r="C44" s="1">
        <f>B44*$F$10</f>
      </c>
      <c r="D44" s="12">
        <f>_xlfn.LAMBDA(m,n,k, 2*m*n*k*1000*1000/$N$2/1024/1024/1024/1024/$I$9)(B44,$Q$10,$Q$2)</f>
      </c>
      <c r="E44" s="12">
        <f>_xlfn.LAMBDA(m,n,k, 2*m*n*k*1000*1000/$N$9/1024/1024/1024/1024/$I$9)(B44, $Q$3*(128+64)/$F$10, $Q$10)</f>
      </c>
      <c r="F44" s="13">
        <f>_xlfn.LAMBDA(m,n,k, 2*m*n*k*1000*1000/$N$9/1024/1024/1024/1024/$I$9)(B44,$Q$11*$Q$12,$Q$10)</f>
      </c>
      <c r="G44" s="11">
        <f>_xlfn.LAMBDA(m,n,k, 2*m*n*k*1000*1000/$N$9/1024/1024/1024/1024/$I$9)(B44,$Q$11,$Q$2)</f>
      </c>
      <c r="H44" s="11">
        <f>_xlfn.LAMBDA(m,n,k, 2*m*n*k*1000*1000/$N$14/1024/1024/1024/1024/$I$9)(B44,$Q$12,$Q$2)</f>
      </c>
      <c r="I44" s="11">
        <f>_xlfn.LAMBDA(seq_len, q_len, bs, 2*seq_len*seq_len/2*($Q$12*$Q$11/$N$12 + $Q$12/$N$14)*1000*1000/1024/1024/1024/1024/$K$13/(seq_len/B44))(A44,$C$3,B44)</f>
      </c>
      <c r="J44" s="11">
        <f>_xlfn.LAMBDA(m,n,k, 2*m*n*k*1000*1000/$N$9/1024/1024/1024/1024/$I$9)(B44,$Q$6,$Q$2)</f>
      </c>
      <c r="K44" s="11">
        <f>_xlfn.LAMBDA(b, m,n,k, 2*b*m*n*k*1000*1000/$N$14/1024/1024/1024/1024/$I$9)($Q$3, B44, 128, $Q$7)</f>
      </c>
      <c r="L44" s="11">
        <f>_xlfn.LAMBDA(seq_len, q_len, bs, (MAX(seq_len - 2048, 0) + seq_len) * 2048 / 2 * 1.8*2*$Q$3/$F$10*($Q$6 + $Q$7)*1000*1000/1000/1000/1000/1000/$N$12/$K$13/(A44/B44))(A44, A44,B44)</f>
      </c>
      <c r="M44" s="11">
        <f>_xlfn.LAMBDA(b, m,n,k, 2*b*m*n*k*1000*1000/$N$14/1024/1024/1024/1024/$I$9)($Q$3,B44, 128, $Q$7)</f>
      </c>
      <c r="N44" s="11">
        <f>_xlfn.LAMBDA(m,n,k, 2*m*n*k*1000*1000/$N$9/1024/1024/1024/1024/$I$9)(B44, $Q$3*128/$F$10, $Q$2)</f>
      </c>
      <c r="O44" s="11">
        <v>2000</v>
      </c>
      <c r="P44" s="11">
        <f>_xlfn.LAMBDA(tp_size, hidden_size, batch_size, 2*batch_size*(tp_size-1)/tp_size*hidden_size*1000*1000/$N$11/1024/1024/1024/$I$13)($F$10, $Q$2,B44)</f>
      </c>
      <c r="Q44" s="11">
        <f>_xlfn.LAMBDA(m,n,k, 2*m*n*k*1000*1000/$N$9/1024/1024/1024/1024/$I$10)(B44*$S$2/$F$12,$Q$8*2,$Q$2)</f>
      </c>
      <c r="R44" s="11">
        <f>_xlfn.LAMBDA(m,n,k, 2*m*n*k*1000*1000/$N$9/1024/1024/1024/1024/$I$10)(B44*$S$2/$F$12,$Q$2,$Q$8)</f>
      </c>
      <c r="S44" s="11">
        <v>0</v>
      </c>
      <c r="T44" s="11">
        <f>CEILING($Q$9/$F$11)*SUM(D44:S44)/1000</f>
      </c>
      <c r="U44" s="11">
        <f>CEILING(A44/B44)*T44+($F$11-1)*T44</f>
      </c>
      <c r="V44" s="11">
        <v>0.8</v>
      </c>
      <c r="W44" s="11">
        <f>B44/(T44/1000)*V44/$F$9/(1-$C$7)</f>
      </c>
      <c r="X44" s="11">
        <f>1000000*$N$15/24/60/60/W44</f>
      </c>
      <c r="Y44" s="11">
        <f>X44*$C$6</f>
      </c>
      <c r="Z44" s="11"/>
      <c r="AA44" s="11"/>
      <c r="AB44" s="2"/>
      <c r="AC44" s="2"/>
      <c r="AD44" s="2"/>
      <c r="AE44" s="2"/>
      <c r="AF44" s="2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>
      <c r="A45" s="1">
        <v>3072</v>
      </c>
      <c r="B45" s="1">
        <v>1024</v>
      </c>
      <c r="C45" s="1">
        <f>B45*$F$10</f>
      </c>
      <c r="D45" s="12">
        <f>_xlfn.LAMBDA(m,n,k, 2*m*n*k*1000*1000/$N$2/1024/1024/1024/1024/$I$9)(B45,$Q$10,$Q$2)</f>
      </c>
      <c r="E45" s="12">
        <f>_xlfn.LAMBDA(m,n,k, 2*m*n*k*1000*1000/$N$9/1024/1024/1024/1024/$I$9)(B45, $Q$3*(128+64)/$F$10, $Q$10)</f>
      </c>
      <c r="F45" s="13">
        <f>_xlfn.LAMBDA(m,n,k, 2*m*n*k*1000*1000/$N$9/1024/1024/1024/1024/$I$9)(B45,$Q$11*$Q$12,$Q$10)</f>
      </c>
      <c r="G45" s="11">
        <f>_xlfn.LAMBDA(m,n,k, 2*m*n*k*1000*1000/$N$9/1024/1024/1024/1024/$I$9)(B45,$Q$11,$Q$2)</f>
      </c>
      <c r="H45" s="11">
        <f>_xlfn.LAMBDA(m,n,k, 2*m*n*k*1000*1000/$N$14/1024/1024/1024/1024/$I$9)(B45,$Q$12,$Q$2)</f>
      </c>
      <c r="I45" s="11">
        <f>_xlfn.LAMBDA(seq_len, q_len, bs, 2*seq_len*seq_len/2*($Q$12*$Q$11/$N$12 + $Q$12/$N$14)*1000*1000/1024/1024/1024/1024/$K$13/(seq_len/B45))(A45,$C$3,B45)</f>
      </c>
      <c r="J45" s="11">
        <f>_xlfn.LAMBDA(m,n,k, 2*m*n*k*1000*1000/$N$9/1024/1024/1024/1024/$I$9)(B45,$Q$6,$Q$2)</f>
      </c>
      <c r="K45" s="11">
        <f>_xlfn.LAMBDA(b, m,n,k, 2*b*m*n*k*1000*1000/$N$14/1024/1024/1024/1024/$I$9)($Q$3, B45, 128, $Q$7)</f>
      </c>
      <c r="L45" s="11">
        <f>_xlfn.LAMBDA(seq_len, q_len, bs, (MAX(seq_len - 2048, 0) + seq_len) * 2048 / 2 * 1.8*2*$Q$3/$F$10*($Q$6 + $Q$7)*1000*1000/1000/1000/1000/1000/$N$12/$K$13/(A45/B45))(A45, A45,B45)</f>
      </c>
      <c r="M45" s="11">
        <f>_xlfn.LAMBDA(b, m,n,k, 2*b*m*n*k*1000*1000/$N$14/1024/1024/1024/1024/$I$9)($Q$3,B45, 128, $Q$7)</f>
      </c>
      <c r="N45" s="11">
        <f>_xlfn.LAMBDA(m,n,k, 2*m*n*k*1000*1000/$N$9/1024/1024/1024/1024/$I$9)(B45, $Q$3*128/$F$10, $Q$2)</f>
      </c>
      <c r="O45" s="11">
        <v>2000</v>
      </c>
      <c r="P45" s="11">
        <f>_xlfn.LAMBDA(tp_size, hidden_size, batch_size, 2*batch_size*(tp_size-1)/tp_size*hidden_size*1000*1000/$N$11/1024/1024/1024/$I$13)($F$10, $Q$2,B45)</f>
      </c>
      <c r="Q45" s="11">
        <f>_xlfn.LAMBDA(m,n,k, 2*m*n*k*1000*1000/$N$9/1024/1024/1024/1024/$I$10)(B45*$S$2/$F$12,$Q$8*2,$Q$2)</f>
      </c>
      <c r="R45" s="11">
        <f>_xlfn.LAMBDA(m,n,k, 2*m*n*k*1000*1000/$N$9/1024/1024/1024/1024/$I$10)(B45*$S$2/$F$12,$Q$2,$Q$8)</f>
      </c>
      <c r="S45" s="11">
        <v>0</v>
      </c>
      <c r="T45" s="11">
        <f>CEILING($Q$9/$F$11)*SUM(D45:S45)/1000</f>
      </c>
      <c r="U45" s="11">
        <f>CEILING(A45/B45)*T45+($F$11-1)*T45</f>
      </c>
      <c r="V45" s="11">
        <v>0.8</v>
      </c>
      <c r="W45" s="11">
        <f>B45/(T45/1000)*V45/$F$9/(1-$C$7)</f>
      </c>
      <c r="X45" s="11">
        <f>1000000*$N$15/24/60/60/W45</f>
      </c>
      <c r="Y45" s="11">
        <f>X45*$C$6</f>
      </c>
      <c r="Z45" s="11"/>
      <c r="AA45" s="11"/>
      <c r="AB45" s="2"/>
      <c r="AC45" s="2"/>
      <c r="AD45" s="2"/>
      <c r="AE45" s="2"/>
      <c r="AF45" s="2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</row>
    <row r="46">
      <c r="A46" s="1">
        <v>4096</v>
      </c>
      <c r="B46" s="1">
        <v>1024</v>
      </c>
      <c r="C46" s="1">
        <f>B46*$F$10</f>
      </c>
      <c r="D46" s="12">
        <f>_xlfn.LAMBDA(m,n,k, 2*m*n*k*1000*1000/$N$2/1024/1024/1024/1024/$I$9)(B46,$Q$10,$Q$2)</f>
      </c>
      <c r="E46" s="12">
        <f>_xlfn.LAMBDA(m,n,k, 2*m*n*k*1000*1000/$N$9/1024/1024/1024/1024/$I$9)(B46, $Q$3*(128+64)/$F$10, $Q$10)</f>
      </c>
      <c r="F46" s="13">
        <f>_xlfn.LAMBDA(m,n,k, 2*m*n*k*1000*1000/$N$9/1024/1024/1024/1024/$I$9)(B46,$Q$11*$Q$12,$Q$10)</f>
      </c>
      <c r="G46" s="11">
        <f>_xlfn.LAMBDA(m,n,k, 2*m*n*k*1000*1000/$N$9/1024/1024/1024/1024/$I$9)(B46,$Q$11,$Q$2)</f>
      </c>
      <c r="H46" s="11">
        <f>_xlfn.LAMBDA(m,n,k, 2*m*n*k*1000*1000/$N$14/1024/1024/1024/1024/$I$9)(B46,$Q$12,$Q$2)</f>
      </c>
      <c r="I46" s="11">
        <f>_xlfn.LAMBDA(seq_len, q_len, bs, 2*seq_len*seq_len/2*($Q$12*$Q$11/$N$12 + $Q$12/$N$14)*1000*1000/1024/1024/1024/1024/$K$13/(seq_len/B46))(A46,$C$3,B46)</f>
      </c>
      <c r="J46" s="11">
        <f>_xlfn.LAMBDA(m,n,k, 2*m*n*k*1000*1000/$N$9/1024/1024/1024/1024/$I$9)(B46,$Q$6,$Q$2)</f>
      </c>
      <c r="K46" s="11">
        <f>_xlfn.LAMBDA(b, m,n,k, 2*b*m*n*k*1000*1000/$N$14/1024/1024/1024/1024/$I$9)($Q$3, B46, 128, $Q$7)</f>
      </c>
      <c r="L46" s="11">
        <f>_xlfn.LAMBDA(seq_len, q_len, bs, (MAX(seq_len - 2048, 0) + seq_len) * 2048 / 2 * 1.8*2*$Q$3/$F$10*($Q$6 + $Q$7)*1000*1000/1000/1000/1000/1000/$N$12/$K$13/(A46/B46))(A46, A46,B46)</f>
      </c>
      <c r="M46" s="11">
        <f>_xlfn.LAMBDA(b, m,n,k, 2*b*m*n*k*1000*1000/$N$14/1024/1024/1024/1024/$I$9)($Q$3,B46, 128, $Q$7)</f>
      </c>
      <c r="N46" s="11">
        <f>_xlfn.LAMBDA(m,n,k, 2*m*n*k*1000*1000/$N$9/1024/1024/1024/1024/$I$9)(B46, $Q$3*128/$F$10, $Q$2)</f>
      </c>
      <c r="O46" s="11">
        <v>2000</v>
      </c>
      <c r="P46" s="11">
        <f>_xlfn.LAMBDA(tp_size, hidden_size, batch_size, 2*batch_size*(tp_size-1)/tp_size*hidden_size*1000*1000/$N$11/1024/1024/1024/$I$13)($F$10, $Q$2,B46)</f>
      </c>
      <c r="Q46" s="11">
        <f>_xlfn.LAMBDA(m,n,k, 2*m*n*k*1000*1000/$N$9/1024/1024/1024/1024/$I$10)(B46*$S$2/$F$12,$Q$8*2,$Q$2)</f>
      </c>
      <c r="R46" s="11">
        <f>_xlfn.LAMBDA(m,n,k, 2*m*n*k*1000*1000/$N$9/1024/1024/1024/1024/$I$10)(B46*$S$2/$F$12,$Q$2,$Q$8)</f>
      </c>
      <c r="S46" s="11">
        <v>0</v>
      </c>
      <c r="T46" s="11">
        <f>CEILING($Q$9/$F$11)*SUM(D46:S46)/1000</f>
      </c>
      <c r="U46" s="11">
        <f>CEILING(A46/B46)*T46+($F$11-1)*T46</f>
      </c>
      <c r="V46" s="11">
        <v>0.8</v>
      </c>
      <c r="W46" s="11">
        <f>B46/(T46/1000)*V46/$F$9/(1-$C$7)</f>
      </c>
      <c r="X46" s="11">
        <f>1000000*$N$15/24/60/60/W46</f>
      </c>
      <c r="Y46" s="11">
        <f>X46*$C$6</f>
      </c>
      <c r="Z46" s="11"/>
      <c r="AA46" s="11"/>
      <c r="AB46" s="2"/>
      <c r="AC46" s="2"/>
      <c r="AD46" s="2"/>
      <c r="AE46" s="2"/>
      <c r="AF46" s="2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</row>
    <row r="47">
      <c r="A47" s="1">
        <v>8192</v>
      </c>
      <c r="B47" s="1">
        <v>1024</v>
      </c>
      <c r="C47" s="1">
        <f>B47*$F$10</f>
      </c>
      <c r="D47" s="12">
        <f>_xlfn.LAMBDA(m,n,k, 2*m*n*k*1000*1000/$N$2/1024/1024/1024/1024/$I$9)(B47,$Q$10,$Q$2)</f>
      </c>
      <c r="E47" s="12">
        <f>_xlfn.LAMBDA(m,n,k, 2*m*n*k*1000*1000/$N$9/1024/1024/1024/1024/$I$9)(B47, $Q$3*(128+64)/$F$10, $Q$10)</f>
      </c>
      <c r="F47" s="13">
        <f>_xlfn.LAMBDA(m,n,k, 2*m*n*k*1000*1000/$N$9/1024/1024/1024/1024/$I$9)(B47,$Q$11*$Q$12,$Q$10)</f>
      </c>
      <c r="G47" s="11">
        <f>_xlfn.LAMBDA(m,n,k, 2*m*n*k*1000*1000/$N$9/1024/1024/1024/1024/$I$9)(B47,$Q$11,$Q$2)</f>
      </c>
      <c r="H47" s="11">
        <f>_xlfn.LAMBDA(m,n,k, 2*m*n*k*1000*1000/$N$14/1024/1024/1024/1024/$I$9)(B47,$Q$12,$Q$2)</f>
      </c>
      <c r="I47" s="11">
        <f>_xlfn.LAMBDA(seq_len, q_len, bs, 2*seq_len*seq_len/2*($Q$12*$Q$11/$N$12 + $Q$12/$N$14)*1000*1000/1024/1024/1024/1024/$K$13/(seq_len/B47))(A47,$C$3,B47)</f>
      </c>
      <c r="J47" s="11">
        <f>_xlfn.LAMBDA(m,n,k, 2*m*n*k*1000*1000/$N$9/1024/1024/1024/1024/$I$9)(B47,$Q$6,$Q$2)</f>
      </c>
      <c r="K47" s="11">
        <f>_xlfn.LAMBDA(b, m,n,k, 2*b*m*n*k*1000*1000/$N$14/1024/1024/1024/1024/$I$9)($Q$3, B47, 128, $Q$7)</f>
      </c>
      <c r="L47" s="11">
        <f>_xlfn.LAMBDA(seq_len, q_len, bs, (MAX(seq_len - 2048, 0) + seq_len) * 2048 / 2 * 1.8*2*$Q$3/$F$10*($Q$6 + $Q$7)*1000*1000/1000/1000/1000/1000/$N$12/$K$13/(A47/B47))(A47, A47,B47)</f>
      </c>
      <c r="M47" s="11">
        <f>_xlfn.LAMBDA(b, m,n,k, 2*b*m*n*k*1000*1000/$N$14/1024/1024/1024/1024/$I$9)($Q$3,B47, 128, $Q$7)</f>
      </c>
      <c r="N47" s="11">
        <f>_xlfn.LAMBDA(m,n,k, 2*m*n*k*1000*1000/$N$9/1024/1024/1024/1024/$I$9)(B47, $Q$3*128/$F$10, $Q$2)</f>
      </c>
      <c r="O47" s="11">
        <v>2000</v>
      </c>
      <c r="P47" s="11">
        <f>_xlfn.LAMBDA(tp_size, hidden_size, batch_size, 2*batch_size*(tp_size-1)/tp_size*hidden_size*1000*1000/$N$11/1024/1024/1024/$I$13)($F$10, $Q$2,B47)</f>
      </c>
      <c r="Q47" s="11">
        <f>_xlfn.LAMBDA(m,n,k, 2*m*n*k*1000*1000/$N$9/1024/1024/1024/1024/$I$10)(B47*$S$2/$F$12,$Q$8*2,$Q$2)</f>
      </c>
      <c r="R47" s="11">
        <f>_xlfn.LAMBDA(m,n,k, 2*m*n*k*1000*1000/$N$9/1024/1024/1024/1024/$I$10)(B47*$S$2/$F$12,$Q$2,$Q$8)</f>
      </c>
      <c r="S47" s="11">
        <v>0</v>
      </c>
      <c r="T47" s="11">
        <f>CEILING($Q$9/$F$11)*SUM(D47:S47)/1000</f>
      </c>
      <c r="U47" s="11">
        <f>CEILING(A47/B47)*T47+($F$11-1)*T47</f>
      </c>
      <c r="V47" s="11">
        <v>0.8</v>
      </c>
      <c r="W47" s="11">
        <f>B47/(T47/1000)*V47/$F$9/(1-$C$7)</f>
      </c>
      <c r="X47" s="11">
        <f>1000000*$N$15/24/60/60/W47</f>
      </c>
      <c r="Y47" s="11">
        <f>X47*$C$6</f>
      </c>
      <c r="Z47" s="11"/>
      <c r="AA47" s="11"/>
      <c r="AB47" s="2"/>
      <c r="AC47" s="2"/>
      <c r="AD47" s="2"/>
      <c r="AE47" s="2"/>
      <c r="AF47" s="2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</row>
    <row r="48">
      <c r="A48" s="1">
        <v>10240</v>
      </c>
      <c r="B48" s="1">
        <v>1024</v>
      </c>
      <c r="C48" s="1">
        <f>B48*$F$10</f>
      </c>
      <c r="D48" s="12">
        <f>_xlfn.LAMBDA(m,n,k, 2*m*n*k*1000*1000/$N$2/1024/1024/1024/1024/$I$9)(B48,$Q$10,$Q$2)</f>
      </c>
      <c r="E48" s="12">
        <f>_xlfn.LAMBDA(m,n,k, 2*m*n*k*1000*1000/$N$9/1024/1024/1024/1024/$I$9)(B48, $Q$3*(128+64)/$F$10, $Q$10)</f>
      </c>
      <c r="F48" s="13">
        <f>_xlfn.LAMBDA(m,n,k, 2*m*n*k*1000*1000/$N$9/1024/1024/1024/1024/$I$9)(B48,$Q$11*$Q$12,$Q$10)</f>
      </c>
      <c r="G48" s="11">
        <f>_xlfn.LAMBDA(m,n,k, 2*m*n*k*1000*1000/$N$9/1024/1024/1024/1024/$I$9)(B48,$Q$11,$Q$2)</f>
      </c>
      <c r="H48" s="11">
        <f>_xlfn.LAMBDA(m,n,k, 2*m*n*k*1000*1000/$N$14/1024/1024/1024/1024/$I$9)(B48,$Q$12,$Q$2)</f>
      </c>
      <c r="I48" s="11">
        <f>_xlfn.LAMBDA(seq_len, q_len, bs, 2*seq_len*seq_len/2*($Q$12*$Q$11/$N$12 + $Q$12/$N$14)*1000*1000/1024/1024/1024/1024/$K$13/(seq_len/B48))(A48,$C$3,B48)</f>
      </c>
      <c r="J48" s="11">
        <f>_xlfn.LAMBDA(m,n,k, 2*m*n*k*1000*1000/$N$9/1024/1024/1024/1024/$I$9)(B48,$Q$6,$Q$2)</f>
      </c>
      <c r="K48" s="11">
        <f>_xlfn.LAMBDA(b, m,n,k, 2*b*m*n*k*1000*1000/$N$14/1024/1024/1024/1024/$I$9)($Q$3, B48, 128, $Q$7)</f>
      </c>
      <c r="L48" s="11">
        <f>_xlfn.LAMBDA(seq_len, q_len, bs, (MAX(seq_len - 2048, 0) + seq_len) * 2048 / 2 * 1.8*2*$Q$3/$F$10*($Q$6 + $Q$7)*1000*1000/1000/1000/1000/1000/$N$12/$K$13/(A48/B48))(A48, A48,B48)</f>
      </c>
      <c r="M48" s="11">
        <f>_xlfn.LAMBDA(b, m,n,k, 2*b*m*n*k*1000*1000/$N$14/1024/1024/1024/1024/$I$9)($Q$3,B48, 128, $Q$7)</f>
      </c>
      <c r="N48" s="11">
        <f>_xlfn.LAMBDA(m,n,k, 2*m*n*k*1000*1000/$N$9/1024/1024/1024/1024/$I$9)(B48, $Q$3*128/$F$10, $Q$2)</f>
      </c>
      <c r="O48" s="11">
        <v>2000</v>
      </c>
      <c r="P48" s="11">
        <f>_xlfn.LAMBDA(tp_size, hidden_size, batch_size, 2*batch_size*(tp_size-1)/tp_size*hidden_size*1000*1000/$N$11/1024/1024/1024/$I$13)($F$10, $Q$2,B48)</f>
      </c>
      <c r="Q48" s="11">
        <f>_xlfn.LAMBDA(m,n,k, 2*m*n*k*1000*1000/$N$9/1024/1024/1024/1024/$I$10)(B48*$S$2/$F$12,$Q$8*2,$Q$2)</f>
      </c>
      <c r="R48" s="11">
        <f>_xlfn.LAMBDA(m,n,k, 2*m*n*k*1000*1000/$N$9/1024/1024/1024/1024/$I$10)(B48*$S$2/$F$12,$Q$2,$Q$8)</f>
      </c>
      <c r="S48" s="11">
        <v>0</v>
      </c>
      <c r="T48" s="11">
        <f>CEILING($Q$9/$F$11)*SUM(D48:S48)/1000</f>
      </c>
      <c r="U48" s="11">
        <f>CEILING(A48/B48)*T48+($F$11-1)*T48</f>
      </c>
      <c r="V48" s="11">
        <v>0.8</v>
      </c>
      <c r="W48" s="11">
        <f>B48/(T48/1000)*V48/$F$9/(1-$C$7)</f>
      </c>
      <c r="X48" s="11">
        <f>1000000*$N$15/24/60/60/W48</f>
      </c>
      <c r="Y48" s="11">
        <f>X48*$C$6</f>
      </c>
      <c r="Z48" s="11"/>
      <c r="AA48" s="11"/>
      <c r="AB48" s="2"/>
      <c r="AC48" s="2"/>
      <c r="AD48" s="2"/>
      <c r="AE48" s="2"/>
      <c r="AF48" s="2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</row>
    <row r="49">
      <c r="A49" s="1">
        <v>16384</v>
      </c>
      <c r="B49" s="1">
        <v>1024</v>
      </c>
      <c r="C49" s="1">
        <f>B49*$F$10</f>
      </c>
      <c r="D49" s="12">
        <f>_xlfn.LAMBDA(m,n,k, 2*m*n*k*1000*1000/$N$2/1024/1024/1024/1024/$I$9)(B49,$Q$10,$Q$2)</f>
      </c>
      <c r="E49" s="12">
        <f>_xlfn.LAMBDA(m,n,k, 2*m*n*k*1000*1000/$N$9/1024/1024/1024/1024/$I$9)(B49, $Q$3*(128+64)/$F$10, $Q$10)</f>
      </c>
      <c r="F49" s="13">
        <f>_xlfn.LAMBDA(m,n,k, 2*m*n*k*1000*1000/$N$9/1024/1024/1024/1024/$I$9)(B49,$Q$11*$Q$12,$Q$10)</f>
      </c>
      <c r="G49" s="11">
        <f>_xlfn.LAMBDA(m,n,k, 2*m*n*k*1000*1000/$N$9/1024/1024/1024/1024/$I$9)(B49,$Q$11,$Q$2)</f>
      </c>
      <c r="H49" s="11">
        <f>_xlfn.LAMBDA(m,n,k, 2*m*n*k*1000*1000/$N$14/1024/1024/1024/1024/$I$9)(B49,$Q$12,$Q$2)</f>
      </c>
      <c r="I49" s="11">
        <f>_xlfn.LAMBDA(seq_len, q_len, bs, 2*seq_len*seq_len/2*($Q$12*$Q$11/$N$12 + $Q$12/$N$14)*1000*1000/1024/1024/1024/1024/$K$13/(seq_len/B49))(A49,$C$3,B49)</f>
      </c>
      <c r="J49" s="11">
        <f>_xlfn.LAMBDA(m,n,k, 2*m*n*k*1000*1000/$N$9/1024/1024/1024/1024/$I$9)(B49,$Q$6,$Q$2)</f>
      </c>
      <c r="K49" s="11">
        <f>_xlfn.LAMBDA(b, m,n,k, 2*b*m*n*k*1000*1000/$N$14/1024/1024/1024/1024/$I$9)($Q$3, B49, 128, $Q$7)</f>
      </c>
      <c r="L49" s="11">
        <f>_xlfn.LAMBDA(seq_len, q_len, bs, (MAX(seq_len - 2048, 0) + seq_len) * 2048 / 2 * 1.8*2*$Q$3/$F$10*($Q$6 + $Q$7)*1000*1000/1000/1000/1000/1000/$N$12/$K$13/(A49/B49))(A49, A49,B49)</f>
      </c>
      <c r="M49" s="11">
        <f>_xlfn.LAMBDA(b, m,n,k, 2*b*m*n*k*1000*1000/$N$14/1024/1024/1024/1024/$I$9)($Q$3,B49, 128, $Q$7)</f>
      </c>
      <c r="N49" s="11">
        <f>_xlfn.LAMBDA(m,n,k, 2*m*n*k*1000*1000/$N$9/1024/1024/1024/1024/$I$9)(B49, $Q$3*128/$F$10, $Q$2)</f>
      </c>
      <c r="O49" s="11">
        <v>2000</v>
      </c>
      <c r="P49" s="11">
        <f>_xlfn.LAMBDA(tp_size, hidden_size, batch_size, 2*batch_size*(tp_size-1)/tp_size*hidden_size*1000*1000/$N$11/1024/1024/1024/$I$13)($F$10, $Q$2,B49)</f>
      </c>
      <c r="Q49" s="11">
        <f>_xlfn.LAMBDA(m,n,k, 2*m*n*k*1000*1000/$N$9/1024/1024/1024/1024/$I$10)(B49*$S$2/$F$12,$Q$8*2,$Q$2)</f>
      </c>
      <c r="R49" s="11">
        <f>_xlfn.LAMBDA(m,n,k, 2*m*n*k*1000*1000/$N$9/1024/1024/1024/1024/$I$10)(B49*$S$2/$F$12,$Q$2,$Q$8)</f>
      </c>
      <c r="S49" s="11">
        <v>0</v>
      </c>
      <c r="T49" s="11">
        <f>CEILING($Q$9/$F$11)*SUM(D49:S49)/1000</f>
      </c>
      <c r="U49" s="11">
        <f>CEILING(A49/B49)*T49+($F$11-1)*T49</f>
      </c>
      <c r="V49" s="11">
        <v>0.8</v>
      </c>
      <c r="W49" s="11">
        <f>B49/(T49/1000)*V49/$F$9/(1-$C$7)</f>
      </c>
      <c r="X49" s="11">
        <f>1000000*$N$15/24/60/60/W49</f>
      </c>
      <c r="Y49" s="11">
        <f>X49*$C$6</f>
      </c>
      <c r="Z49" s="11"/>
      <c r="AA49" s="11"/>
      <c r="AB49" s="2"/>
      <c r="AC49" s="2"/>
      <c r="AD49" s="2"/>
      <c r="AE49" s="2"/>
      <c r="AF49" s="2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</row>
    <row r="50">
      <c r="A50" s="1">
        <f>20*1024</f>
      </c>
      <c r="B50" s="1">
        <v>1024</v>
      </c>
      <c r="C50" s="1">
        <f>B50*$F$10</f>
      </c>
      <c r="D50" s="12">
        <f>_xlfn.LAMBDA(m,n,k, 2*m*n*k*1000*1000/$N$2/1024/1024/1024/1024/$I$9)(B50,$Q$10,$Q$2)</f>
      </c>
      <c r="E50" s="12">
        <f>_xlfn.LAMBDA(m,n,k, 2*m*n*k*1000*1000/$N$9/1024/1024/1024/1024/$I$9)(B50, $Q$3*(128+64)/$F$10, $Q$10)</f>
      </c>
      <c r="F50" s="13">
        <f>_xlfn.LAMBDA(m,n,k, 2*m*n*k*1000*1000/$N$9/1024/1024/1024/1024/$I$9)(B50,$Q$11*$Q$12,$Q$10)</f>
      </c>
      <c r="G50" s="11">
        <f>_xlfn.LAMBDA(m,n,k, 2*m*n*k*1000*1000/$N$9/1024/1024/1024/1024/$I$9)(B50,$Q$11,$Q$2)</f>
      </c>
      <c r="H50" s="11">
        <f>_xlfn.LAMBDA(m,n,k, 2*m*n*k*1000*1000/$N$14/1024/1024/1024/1024/$I$9)(B50,$Q$12,$Q$2)</f>
      </c>
      <c r="I50" s="11">
        <f>_xlfn.LAMBDA(seq_len, q_len, bs, 2*seq_len*seq_len/2*($Q$12*$Q$11/$N$12 + $Q$12/$N$14)*1000*1000/1024/1024/1024/1024/$K$13/(seq_len/B50))(A50,$C$3,B50)</f>
      </c>
      <c r="J50" s="11">
        <f>_xlfn.LAMBDA(m,n,k, 2*m*n*k*1000*1000/$N$9/1024/1024/1024/1024/$I$9)(B50,$Q$6,$Q$2)</f>
      </c>
      <c r="K50" s="11">
        <f>_xlfn.LAMBDA(b, m,n,k, 2*b*m*n*k*1000*1000/$N$14/1024/1024/1024/1024/$I$9)($Q$3, B50, 128, $Q$7)</f>
      </c>
      <c r="L50" s="11">
        <f>_xlfn.LAMBDA(seq_len, q_len, bs, (MAX(seq_len - 2048, 0) + seq_len) * 2048 / 2 * 1.8*2*$Q$3/$F$10*($Q$6 + $Q$7)*1000*1000/1000/1000/1000/1000/$N$12/$K$13/(A50/B50))(A50, A50,B50)</f>
      </c>
      <c r="M50" s="11">
        <f>_xlfn.LAMBDA(b, m,n,k, 2*b*m*n*k*1000*1000/$N$14/1024/1024/1024/1024/$I$9)($Q$3,B50, 128, $Q$7)</f>
      </c>
      <c r="N50" s="11">
        <f>_xlfn.LAMBDA(m,n,k, 2*m*n*k*1000*1000/$N$9/1024/1024/1024/1024/$I$9)(B50, $Q$3*128/$F$10, $Q$2)</f>
      </c>
      <c r="O50" s="11">
        <v>2000</v>
      </c>
      <c r="P50" s="11">
        <f>_xlfn.LAMBDA(tp_size, hidden_size, batch_size, 2*batch_size*(tp_size-1)/tp_size*hidden_size*1000*1000/$N$11/1024/1024/1024/$I$13)($F$10, $Q$2,B50)</f>
      </c>
      <c r="Q50" s="11">
        <f>_xlfn.LAMBDA(m,n,k, 2*m*n*k*1000*1000/$N$9/1024/1024/1024/1024/$I$10)(B50*$S$2/$F$12,$Q$8*2,$Q$2)</f>
      </c>
      <c r="R50" s="11">
        <f>_xlfn.LAMBDA(m,n,k, 2*m*n*k*1000*1000/$N$9/1024/1024/1024/1024/$I$10)(B50*$S$2/$F$12,$Q$2,$Q$8)</f>
      </c>
      <c r="S50" s="11">
        <v>0</v>
      </c>
      <c r="T50" s="11">
        <f>CEILING($Q$9/$F$11)*SUM(D50:S50)/1000</f>
      </c>
      <c r="U50" s="11">
        <f>CEILING(A50/B50)*T50+($F$11-1)*T50</f>
      </c>
      <c r="V50" s="11">
        <v>0.8</v>
      </c>
      <c r="W50" s="11">
        <f>B50/(T50/1000)*V50/$F$9/(1-$C$7)</f>
      </c>
      <c r="X50" s="11">
        <f>1000000*$N$15/24/60/60/W50</f>
      </c>
      <c r="Y50" s="11">
        <f>X50*$C$6</f>
      </c>
      <c r="Z50" s="11"/>
      <c r="AA50" s="11"/>
      <c r="AB50" s="2"/>
      <c r="AC50" s="2"/>
      <c r="AD50" s="2"/>
      <c r="AE50" s="2"/>
      <c r="AF50" s="2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</row>
    <row r="51">
      <c r="A51" s="1">
        <f>32*1024</f>
      </c>
      <c r="B51" s="1">
        <v>1024</v>
      </c>
      <c r="C51" s="1">
        <f>B51*$F$10</f>
      </c>
      <c r="D51" s="12">
        <f>_xlfn.LAMBDA(m,n,k, 2*m*n*k*1000*1000/$N$2/1024/1024/1024/1024/$I$9)(B51,$Q$10,$Q$2)</f>
      </c>
      <c r="E51" s="12">
        <f>_xlfn.LAMBDA(m,n,k, 2*m*n*k*1000*1000/$N$9/1024/1024/1024/1024/$I$9)(B51, $Q$3*(128+64)/$F$10, $Q$10)</f>
      </c>
      <c r="F51" s="13">
        <f>_xlfn.LAMBDA(m,n,k, 2*m*n*k*1000*1000/$N$9/1024/1024/1024/1024/$I$9)(B51,$Q$11*$Q$12,$Q$10)</f>
      </c>
      <c r="G51" s="11">
        <f>_xlfn.LAMBDA(m,n,k, 2*m*n*k*1000*1000/$N$9/1024/1024/1024/1024/$I$9)(B51,$Q$11,$Q$2)</f>
      </c>
      <c r="H51" s="11">
        <f>_xlfn.LAMBDA(m,n,k, 2*m*n*k*1000*1000/$N$14/1024/1024/1024/1024/$I$9)(B51,$Q$12,$Q$2)</f>
      </c>
      <c r="I51" s="11">
        <f>_xlfn.LAMBDA(seq_len, q_len, bs, 2*seq_len*seq_len/2*($Q$12*$Q$11/$N$12 + $Q$12/$N$14)*1000*1000/1024/1024/1024/1024/$K$13/(seq_len/B51))(A51,$C$3,B51)</f>
      </c>
      <c r="J51" s="11">
        <f>_xlfn.LAMBDA(m,n,k, 2*m*n*k*1000*1000/$N$9/1024/1024/1024/1024/$I$9)(B51,$Q$6,$Q$2)</f>
      </c>
      <c r="K51" s="11">
        <f>_xlfn.LAMBDA(b, m,n,k, 2*b*m*n*k*1000*1000/$N$14/1024/1024/1024/1024/$I$9)($Q$3, B51, 128, $Q$7)</f>
      </c>
      <c r="L51" s="11">
        <f>_xlfn.LAMBDA(seq_len, q_len, bs, (MAX(seq_len - 2048, 0) + seq_len) * 2048 / 2 * 1.8*2*$Q$3/$F$10*($Q$6 + $Q$7)*1000*1000/1000/1000/1000/1000/$N$12/$K$13/(A51/B51))(A51, A51,B51)</f>
      </c>
      <c r="M51" s="11">
        <f>_xlfn.LAMBDA(b, m,n,k, 2*b*m*n*k*1000*1000/$N$14/1024/1024/1024/1024/$I$9)($Q$3,B51, 128, $Q$7)</f>
      </c>
      <c r="N51" s="11">
        <f>_xlfn.LAMBDA(m,n,k, 2*m*n*k*1000*1000/$N$9/1024/1024/1024/1024/$I$9)(B51, $Q$3*128/$F$10, $Q$2)</f>
      </c>
      <c r="O51" s="11">
        <v>2000</v>
      </c>
      <c r="P51" s="11">
        <f>_xlfn.LAMBDA(tp_size, hidden_size, batch_size, 2*batch_size*(tp_size-1)/tp_size*hidden_size*1000*1000/$N$11/1024/1024/1024/$I$13)($F$10, $Q$2,B51)</f>
      </c>
      <c r="Q51" s="11">
        <f>_xlfn.LAMBDA(m,n,k, 2*m*n*k*1000*1000/$N$9/1024/1024/1024/1024/$I$10)(B51*$S$2/$F$12,$Q$8*2,$Q$2)</f>
      </c>
      <c r="R51" s="11">
        <f>_xlfn.LAMBDA(m,n,k, 2*m*n*k*1000*1000/$N$9/1024/1024/1024/1024/$I$10)(B51*$S$2/$F$12,$Q$2,$Q$8)</f>
      </c>
      <c r="S51" s="11">
        <v>0</v>
      </c>
      <c r="T51" s="11">
        <f>CEILING($Q$9/$F$11)*SUM(D51:S51)/1000</f>
      </c>
      <c r="U51" s="11">
        <f>CEILING(A51/B51)*T51+($F$11-1)*T51</f>
      </c>
      <c r="V51" s="11">
        <v>0.8</v>
      </c>
      <c r="W51" s="11">
        <f>B51/(T51/1000)*V51/$F$9/(1-$C$7)</f>
      </c>
      <c r="X51" s="11">
        <f>1000000*$N$15/24/60/60/W51</f>
      </c>
      <c r="Y51" s="11">
        <f>X51*$C$6</f>
      </c>
      <c r="Z51" s="11"/>
      <c r="AA51" s="11"/>
      <c r="AB51" s="2"/>
      <c r="AC51" s="2"/>
      <c r="AD51" s="2"/>
      <c r="AE51" s="2"/>
      <c r="AF51" s="2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</row>
    <row r="52">
      <c r="A52" s="1">
        <f>50*1024</f>
      </c>
      <c r="B52" s="1">
        <v>1024</v>
      </c>
      <c r="C52" s="1">
        <f>B52*$F$10</f>
      </c>
      <c r="D52" s="12">
        <f>_xlfn.LAMBDA(m,n,k, 2*m*n*k*1000*1000/$N$2/1024/1024/1024/1024/$I$9)(B52,$Q$10,$Q$2)</f>
      </c>
      <c r="E52" s="12">
        <f>_xlfn.LAMBDA(m,n,k, 2*m*n*k*1000*1000/$N$9/1024/1024/1024/1024/$I$9)(B52, $Q$3*(128+64)/$F$10, $Q$10)</f>
      </c>
      <c r="F52" s="13">
        <f>_xlfn.LAMBDA(m,n,k, 2*m*n*k*1000*1000/$N$9/1024/1024/1024/1024/$I$9)(B52,$Q$11*$Q$12,$Q$10)</f>
      </c>
      <c r="G52" s="11">
        <f>_xlfn.LAMBDA(m,n,k, 2*m*n*k*1000*1000/$N$9/1024/1024/1024/1024/$I$9)(B52,$Q$11,$Q$2)</f>
      </c>
      <c r="H52" s="11">
        <f>_xlfn.LAMBDA(m,n,k, 2*m*n*k*1000*1000/$N$14/1024/1024/1024/1024/$I$9)(B52,$Q$12,$Q$2)</f>
      </c>
      <c r="I52" s="11">
        <f>_xlfn.LAMBDA(seq_len, q_len, bs, 2*seq_len*seq_len/2*($Q$12*$Q$11/$N$12 + $Q$12/$N$14)*1000*1000/1024/1024/1024/1024/$K$13/(seq_len/B52))(A52,$C$3,B52)</f>
      </c>
      <c r="J52" s="11">
        <f>_xlfn.LAMBDA(m,n,k, 2*m*n*k*1000*1000/$N$9/1024/1024/1024/1024/$I$9)(B52,$Q$6,$Q$2)</f>
      </c>
      <c r="K52" s="11">
        <f>_xlfn.LAMBDA(b, m,n,k, 2*b*m*n*k*1000*1000/$N$14/1024/1024/1024/1024/$I$9)($Q$3, B52, 128, $Q$7)</f>
      </c>
      <c r="L52" s="11">
        <f>_xlfn.LAMBDA(seq_len, q_len, bs, (MAX(seq_len - 2048, 0) + seq_len) * 2048 / 2 * 1.8*2*$Q$3/$F$10*($Q$6 + $Q$7)*1000*1000/1000/1000/1000/1000/$N$12/$K$13/(A52/B52))(A52, A52,B52)</f>
      </c>
      <c r="M52" s="11">
        <f>_xlfn.LAMBDA(b, m,n,k, 2*b*m*n*k*1000*1000/$N$14/1024/1024/1024/1024/$I$9)($Q$3,B52, 128, $Q$7)</f>
      </c>
      <c r="N52" s="11">
        <f>_xlfn.LAMBDA(m,n,k, 2*m*n*k*1000*1000/$N$9/1024/1024/1024/1024/$I$9)(B52, $Q$3*128/$F$10, $Q$2)</f>
      </c>
      <c r="O52" s="11">
        <v>2000</v>
      </c>
      <c r="P52" s="11">
        <f>_xlfn.LAMBDA(tp_size, hidden_size, batch_size, 2*batch_size*(tp_size-1)/tp_size*hidden_size*1000*1000/$N$11/1024/1024/1024/$I$13)($F$10, $Q$2,B52)</f>
      </c>
      <c r="Q52" s="11">
        <f>_xlfn.LAMBDA(m,n,k, 2*m*n*k*1000*1000/$N$9/1024/1024/1024/1024/$I$10)(B52*$S$2/$F$12,$Q$8*2,$Q$2)</f>
      </c>
      <c r="R52" s="11">
        <f>_xlfn.LAMBDA(m,n,k, 2*m*n*k*1000*1000/$N$9/1024/1024/1024/1024/$I$10)(B52*$S$2/$F$12,$Q$2,$Q$8)</f>
      </c>
      <c r="S52" s="11">
        <v>0</v>
      </c>
      <c r="T52" s="11">
        <f>CEILING($Q$9/$F$11)*SUM(D52:S52)/1000</f>
      </c>
      <c r="U52" s="11">
        <f>CEILING(A52/B52)*T52+($F$11-1)*T52</f>
      </c>
      <c r="V52" s="11">
        <v>0.8</v>
      </c>
      <c r="W52" s="11">
        <f>B52/(T52/1000)*V52/$F$9/(1-$C$7)</f>
      </c>
      <c r="X52" s="11">
        <f>1000000*$N$15/24/60/60/W52</f>
      </c>
      <c r="Y52" s="11">
        <f>X52*$C$6</f>
      </c>
      <c r="Z52" s="11"/>
      <c r="AA52" s="11"/>
      <c r="AB52" s="2"/>
      <c r="AC52" s="2"/>
      <c r="AD52" s="2"/>
      <c r="AE52" s="2"/>
      <c r="AF52" s="2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</row>
    <row r="53">
      <c r="A53" s="1">
        <f>64*1024</f>
      </c>
      <c r="B53" s="1">
        <v>1024</v>
      </c>
      <c r="C53" s="1">
        <f>B53*$F$10</f>
      </c>
      <c r="D53" s="12">
        <f>_xlfn.LAMBDA(m,n,k, 2*m*n*k*1000*1000/$N$2/1024/1024/1024/1024/$I$9)(B53,$Q$10,$Q$2)</f>
      </c>
      <c r="E53" s="12">
        <f>_xlfn.LAMBDA(m,n,k, 2*m*n*k*1000*1000/$N$9/1024/1024/1024/1024/$I$9)(B53, $Q$3*(128+64)/$F$10, $Q$10)</f>
      </c>
      <c r="F53" s="13">
        <f>_xlfn.LAMBDA(m,n,k, 2*m*n*k*1000*1000/$N$9/1024/1024/1024/1024/$I$9)(B53,$Q$11*$Q$12,$Q$10)</f>
      </c>
      <c r="G53" s="11">
        <f>_xlfn.LAMBDA(m,n,k, 2*m*n*k*1000*1000/$N$9/1024/1024/1024/1024/$I$9)(B53,$Q$11,$Q$2)</f>
      </c>
      <c r="H53" s="11">
        <f>_xlfn.LAMBDA(m,n,k, 2*m*n*k*1000*1000/$N$14/1024/1024/1024/1024/$I$9)(B53,$Q$12,$Q$2)</f>
      </c>
      <c r="I53" s="11">
        <f>_xlfn.LAMBDA(seq_len, q_len, bs, 2*seq_len*seq_len/2*($Q$12*$Q$11/$N$12 + $Q$12/$N$14)*1000*1000/1024/1024/1024/1024/$K$13/(seq_len/B53))(A53,$C$3,B53)</f>
      </c>
      <c r="J53" s="11">
        <f>_xlfn.LAMBDA(m,n,k, 2*m*n*k*1000*1000/$N$9/1024/1024/1024/1024/$I$9)(B53,$Q$6,$Q$2)</f>
      </c>
      <c r="K53" s="11">
        <f>_xlfn.LAMBDA(b, m,n,k, 2*b*m*n*k*1000*1000/$N$14/1024/1024/1024/1024/$I$9)($Q$3, B53, 128, $Q$7)</f>
      </c>
      <c r="L53" s="11">
        <f>_xlfn.LAMBDA(seq_len, q_len, bs, (MAX(seq_len - 2048, 0) + seq_len) * 2048 / 2 * 1.8*2*$Q$3/$F$10*($Q$6 + $Q$7)*1000*1000/1000/1000/1000/1000/$N$12/$K$13/(A53/B53))(A53, A53,B53)</f>
      </c>
      <c r="M53" s="11">
        <f>_xlfn.LAMBDA(b, m,n,k, 2*b*m*n*k*1000*1000/$N$14/1024/1024/1024/1024/$I$9)($Q$3,B53, 128, $Q$7)</f>
      </c>
      <c r="N53" s="11">
        <f>_xlfn.LAMBDA(m,n,k, 2*m*n*k*1000*1000/$N$9/1024/1024/1024/1024/$I$9)(B53, $Q$3*128/$F$10, $Q$2)</f>
      </c>
      <c r="O53" s="11">
        <v>2000</v>
      </c>
      <c r="P53" s="11">
        <f>_xlfn.LAMBDA(tp_size, hidden_size, batch_size, 2*batch_size*(tp_size-1)/tp_size*hidden_size*1000*1000/$N$11/1024/1024/1024/$I$13)($F$10, $Q$2,B53)</f>
      </c>
      <c r="Q53" s="11">
        <f>_xlfn.LAMBDA(m,n,k, 2*m*n*k*1000*1000/$N$9/1024/1024/1024/1024/$I$10)(B53*$S$2/$F$12,$Q$8*2,$Q$2)</f>
      </c>
      <c r="R53" s="11">
        <f>_xlfn.LAMBDA(m,n,k, 2*m*n*k*1000*1000/$N$9/1024/1024/1024/1024/$I$10)(B53*$S$2/$F$12,$Q$2,$Q$8)</f>
      </c>
      <c r="S53" s="11">
        <v>0</v>
      </c>
      <c r="T53" s="11">
        <f>CEILING($Q$9/$F$11)*SUM(D53:S53)/1000</f>
      </c>
      <c r="U53" s="11">
        <f>CEILING(A53/B53)*T53+($F$11-1)*T53</f>
      </c>
      <c r="V53" s="11">
        <v>0.8</v>
      </c>
      <c r="W53" s="11">
        <f>B53/(T53/1000)*V53/$F$9/(1-$C$7)</f>
      </c>
      <c r="X53" s="11">
        <f>1000000*$N$15/24/60/60/W53</f>
      </c>
      <c r="Y53" s="11">
        <f>X53*$C$6</f>
      </c>
      <c r="Z53" s="11"/>
      <c r="AA53" s="11"/>
      <c r="AB53" s="2"/>
      <c r="AC53" s="2"/>
      <c r="AD53" s="2"/>
      <c r="AE53" s="2"/>
      <c r="AF53" s="2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</row>
    <row r="54">
      <c r="A54" s="1">
        <f>96*1024</f>
      </c>
      <c r="B54" s="1">
        <v>1024</v>
      </c>
      <c r="C54" s="1">
        <f>B54*$F$10</f>
      </c>
      <c r="D54" s="12">
        <f>_xlfn.LAMBDA(m,n,k, 2*m*n*k*1000*1000/$N$2/1024/1024/1024/1024/$I$9)(B54,$Q$10,$Q$2)</f>
      </c>
      <c r="E54" s="12">
        <f>_xlfn.LAMBDA(m,n,k, 2*m*n*k*1000*1000/$N$9/1024/1024/1024/1024/$I$9)(B54, $Q$3*(128+64)/$F$10, $Q$10)</f>
      </c>
      <c r="F54" s="13">
        <f>_xlfn.LAMBDA(m,n,k, 2*m*n*k*1000*1000/$N$9/1024/1024/1024/1024/$I$9)(B54,$Q$11*$Q$12,$Q$10)</f>
      </c>
      <c r="G54" s="11">
        <f>_xlfn.LAMBDA(m,n,k, 2*m*n*k*1000*1000/$N$9/1024/1024/1024/1024/$I$9)(B54,$Q$11,$Q$2)</f>
      </c>
      <c r="H54" s="11">
        <f>_xlfn.LAMBDA(m,n,k, 2*m*n*k*1000*1000/$N$14/1024/1024/1024/1024/$I$9)(B54,$Q$12,$Q$2)</f>
      </c>
      <c r="I54" s="11">
        <f>_xlfn.LAMBDA(seq_len, q_len, bs, 2*seq_len*seq_len/2*($Q$12*$Q$11/$N$12 + $Q$12/$N$14)*1000*1000/1024/1024/1024/1024/$K$13/(seq_len/B54))(A54,$C$3,B54)</f>
      </c>
      <c r="J54" s="11">
        <f>_xlfn.LAMBDA(m,n,k, 2*m*n*k*1000*1000/$N$9/1024/1024/1024/1024/$I$9)(B54,$Q$6,$Q$2)</f>
      </c>
      <c r="K54" s="11">
        <f>_xlfn.LAMBDA(b, m,n,k, 2*b*m*n*k*1000*1000/$N$14/1024/1024/1024/1024/$I$9)($Q$3, B54, 128, $Q$7)</f>
      </c>
      <c r="L54" s="11">
        <f>_xlfn.LAMBDA(seq_len, q_len, bs, (MAX(seq_len - 2048, 0) + seq_len) * 2048 / 2 * 1.8*2*$Q$3/$F$10*($Q$6 + $Q$7)*1000*1000/1000/1000/1000/1000/$N$12/$K$13/(A54/B54))(A54, A54,B54)</f>
      </c>
      <c r="M54" s="11">
        <f>_xlfn.LAMBDA(b, m,n,k, 2*b*m*n*k*1000*1000/$N$14/1024/1024/1024/1024/$I$9)($Q$3,B54, 128, $Q$7)</f>
      </c>
      <c r="N54" s="11">
        <f>_xlfn.LAMBDA(m,n,k, 2*m*n*k*1000*1000/$N$9/1024/1024/1024/1024/$I$9)(B54, $Q$3*128/$F$10, $Q$2)</f>
      </c>
      <c r="O54" s="11">
        <v>2000</v>
      </c>
      <c r="P54" s="11">
        <f>_xlfn.LAMBDA(tp_size, hidden_size, batch_size, 2*batch_size*(tp_size-1)/tp_size*hidden_size*1000*1000/$N$11/1024/1024/1024/$I$13)($F$10, $Q$2,B54)</f>
      </c>
      <c r="Q54" s="11">
        <f>_xlfn.LAMBDA(m,n,k, 2*m*n*k*1000*1000/$N$9/1024/1024/1024/1024/$I$10)(B54*$S$2/$F$12,$Q$8*2,$Q$2)</f>
      </c>
      <c r="R54" s="11">
        <f>_xlfn.LAMBDA(m,n,k, 2*m*n*k*1000*1000/$N$9/1024/1024/1024/1024/$I$10)(B54*$S$2/$F$12,$Q$2,$Q$8)</f>
      </c>
      <c r="S54" s="11">
        <v>0</v>
      </c>
      <c r="T54" s="11">
        <f>CEILING($Q$9/$F$11)*SUM(D54:S54)/1000</f>
      </c>
      <c r="U54" s="11">
        <f>CEILING(A54/B54)*T54+($F$11-1)*T54</f>
      </c>
      <c r="V54" s="11">
        <v>0.8</v>
      </c>
      <c r="W54" s="11">
        <f>B54/(T54/1000)*V54/$F$9/(1-$C$7)</f>
      </c>
      <c r="X54" s="11">
        <f>1000000*$N$15/24/60/60/W54</f>
      </c>
      <c r="Y54" s="11">
        <f>X54*$C$6</f>
      </c>
      <c r="Z54" s="11"/>
      <c r="AA54" s="11"/>
      <c r="AB54" s="2"/>
      <c r="AC54" s="2"/>
      <c r="AD54" s="2"/>
      <c r="AE54" s="2"/>
      <c r="AF54" s="2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</row>
    <row r="55">
      <c r="A55" s="1">
        <f>128*1024</f>
      </c>
      <c r="B55" s="1">
        <v>1024</v>
      </c>
      <c r="C55" s="1">
        <f>B55*$F$10</f>
      </c>
      <c r="D55" s="12">
        <f>_xlfn.LAMBDA(m,n,k, 2*m*n*k*1000*1000/$N$2/1024/1024/1024/1024/$I$9)(B55,$Q$10,$Q$2)</f>
      </c>
      <c r="E55" s="12">
        <f>_xlfn.LAMBDA(m,n,k, 2*m*n*k*1000*1000/$N$9/1024/1024/1024/1024/$I$9)(B55, $Q$3*(128+64)/$F$10, $Q$10)</f>
      </c>
      <c r="F55" s="13">
        <f>_xlfn.LAMBDA(m,n,k, 2*m*n*k*1000*1000/$N$9/1024/1024/1024/1024/$I$9)(B55,$Q$11*$Q$12,$Q$10)</f>
      </c>
      <c r="G55" s="11">
        <f>_xlfn.LAMBDA(m,n,k, 2*m*n*k*1000*1000/$N$9/1024/1024/1024/1024/$I$9)(B55,$Q$11,$Q$2)</f>
      </c>
      <c r="H55" s="11">
        <f>_xlfn.LAMBDA(m,n,k, 2*m*n*k*1000*1000/$N$14/1024/1024/1024/1024/$I$9)(B55,$Q$12,$Q$2)</f>
      </c>
      <c r="I55" s="11">
        <f>_xlfn.LAMBDA(seq_len, q_len, bs, 2*seq_len*seq_len/2*($Q$12*$Q$11/$N$12 + $Q$12/$N$14)*1000*1000/1024/1024/1024/1024/$K$13/(seq_len/B55))(A55,$C$3,B55)</f>
      </c>
      <c r="J55" s="11">
        <f>_xlfn.LAMBDA(m,n,k, 2*m*n*k*1000*1000/$N$9/1024/1024/1024/1024/$I$9)(B55,$Q$6,$Q$2)</f>
      </c>
      <c r="K55" s="11">
        <f>_xlfn.LAMBDA(b, m,n,k, 2*b*m*n*k*1000*1000/$N$14/1024/1024/1024/1024/$I$9)($Q$3, B55, 128, $Q$7)</f>
      </c>
      <c r="L55" s="11">
        <f>_xlfn.LAMBDA(seq_len, q_len, bs, (MAX(seq_len - 2048, 0) + seq_len) * 2048 / 2 * 1.8*2*$Q$3/$F$10*($Q$6 + $Q$7)*1000*1000/1000/1000/1000/1000/$N$12/$K$13/(A55/B55))(A55, A55,B55)</f>
      </c>
      <c r="M55" s="11">
        <f>_xlfn.LAMBDA(b, m,n,k, 2*b*m*n*k*1000*1000/$N$14/1024/1024/1024/1024/$I$9)($Q$3,B55, 128, $Q$7)</f>
      </c>
      <c r="N55" s="11">
        <f>_xlfn.LAMBDA(m,n,k, 2*m*n*k*1000*1000/$N$9/1024/1024/1024/1024/$I$9)(B55, $Q$3*128/$F$10, $Q$2)</f>
      </c>
      <c r="O55" s="11">
        <v>2000</v>
      </c>
      <c r="P55" s="11">
        <f>_xlfn.LAMBDA(tp_size, hidden_size, batch_size, 2*batch_size*(tp_size-1)/tp_size*hidden_size*1000*1000/$N$11/1024/1024/1024/$I$13)($F$10, $Q$2,B55)</f>
      </c>
      <c r="Q55" s="11">
        <f>_xlfn.LAMBDA(m,n,k, 2*m*n*k*1000*1000/$N$9/1024/1024/1024/1024/$I$10)(B55*$S$2/$F$12,$Q$8*2,$Q$2)</f>
      </c>
      <c r="R55" s="11">
        <f>_xlfn.LAMBDA(m,n,k, 2*m*n*k*1000*1000/$N$9/1024/1024/1024/1024/$I$10)(B55*$S$2/$F$12,$Q$2,$Q$8)</f>
      </c>
      <c r="S55" s="11">
        <v>0</v>
      </c>
      <c r="T55" s="11">
        <f>CEILING($Q$9/$F$11)*SUM(D55:S55)/1000</f>
      </c>
      <c r="U55" s="11">
        <f>CEILING(A55/B55)*T55+($F$11-1)*T55</f>
      </c>
      <c r="V55" s="11">
        <v>0.8</v>
      </c>
      <c r="W55" s="11">
        <f>B55/(T55/1000)*V55/$F$9/(1-$C$7)</f>
      </c>
      <c r="X55" s="11">
        <f>1000000*$N$15/24/60/60/W55</f>
      </c>
      <c r="Y55" s="11">
        <f>X55*$C$6</f>
      </c>
      <c r="Z55" s="11"/>
      <c r="AA55" s="11"/>
      <c r="AB55" s="2"/>
      <c r="AC55" s="2"/>
      <c r="AD55" s="2"/>
      <c r="AE55" s="2"/>
      <c r="AF55" s="2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</row>
    <row r="56">
      <c r="A56" s="1">
        <f>192*1024</f>
      </c>
      <c r="B56" s="1">
        <v>1024</v>
      </c>
      <c r="C56" s="1">
        <f>B56*$F$10</f>
      </c>
      <c r="D56" s="12">
        <f>_xlfn.LAMBDA(m,n,k, 2*m*n*k*1000*1000/$N$2/1024/1024/1024/1024/$I$9)(B56,$Q$10,$Q$2)</f>
      </c>
      <c r="E56" s="12">
        <f>_xlfn.LAMBDA(m,n,k, 2*m*n*k*1000*1000/$N$9/1024/1024/1024/1024/$I$9)(B56, $Q$3*(128+64)/$F$10, $Q$10)</f>
      </c>
      <c r="F56" s="13">
        <f>_xlfn.LAMBDA(m,n,k, 2*m*n*k*1000*1000/$N$9/1024/1024/1024/1024/$I$9)(B56,$Q$11*$Q$12,$Q$10)</f>
      </c>
      <c r="G56" s="11">
        <f>_xlfn.LAMBDA(m,n,k, 2*m*n*k*1000*1000/$N$9/1024/1024/1024/1024/$I$9)(B56,$Q$11,$Q$2)</f>
      </c>
      <c r="H56" s="11">
        <f>_xlfn.LAMBDA(m,n,k, 2*m*n*k*1000*1000/$N$14/1024/1024/1024/1024/$I$9)(B56,$Q$12,$Q$2)</f>
      </c>
      <c r="I56" s="11">
        <f>_xlfn.LAMBDA(seq_len, q_len, bs, 2*seq_len*seq_len/2*($Q$12*$Q$11/$N$12 + $Q$12/$N$14)*1000*1000/1024/1024/1024/1024/$K$13/(seq_len/B56))(A56,$C$3,B56)</f>
      </c>
      <c r="J56" s="11">
        <f>_xlfn.LAMBDA(m,n,k, 2*m*n*k*1000*1000/$N$9/1024/1024/1024/1024/$I$9)(B56,$Q$6,$Q$2)</f>
      </c>
      <c r="K56" s="11">
        <f>_xlfn.LAMBDA(b, m,n,k, 2*b*m*n*k*1000*1000/$N$14/1024/1024/1024/1024/$I$9)($Q$3, B56, 128, $Q$7)</f>
      </c>
      <c r="L56" s="11">
        <f>_xlfn.LAMBDA(seq_len, q_len, bs, (MAX(seq_len - 2048, 0) + seq_len) * 2048 / 2 * 1.8*2*$Q$3/$F$10*($Q$6 + $Q$7)*1000*1000/1000/1000/1000/1000/$N$12/$K$13/(A56/B56))(A56, A56,B56)</f>
      </c>
      <c r="M56" s="11">
        <f>_xlfn.LAMBDA(b, m,n,k, 2*b*m*n*k*1000*1000/$N$14/1024/1024/1024/1024/$I$9)($Q$3,B56, 128, $Q$7)</f>
      </c>
      <c r="N56" s="11">
        <f>_xlfn.LAMBDA(m,n,k, 2*m*n*k*1000*1000/$N$9/1024/1024/1024/1024/$I$9)(B56, $Q$3*128/$F$10, $Q$2)</f>
      </c>
      <c r="O56" s="11">
        <v>2000</v>
      </c>
      <c r="P56" s="11">
        <f>_xlfn.LAMBDA(tp_size, hidden_size, batch_size, 2*batch_size*(tp_size-1)/tp_size*hidden_size*1000*1000/$N$11/1024/1024/1024/$I$13)($F$10, $Q$2,B56)</f>
      </c>
      <c r="Q56" s="11">
        <f>_xlfn.LAMBDA(m,n,k, 2*m*n*k*1000*1000/$N$9/1024/1024/1024/1024/$I$10)(B56*$S$2/$F$12,$Q$8*2,$Q$2)</f>
      </c>
      <c r="R56" s="11">
        <f>_xlfn.LAMBDA(m,n,k, 2*m*n*k*1000*1000/$N$9/1024/1024/1024/1024/$I$10)(B56*$S$2/$F$12,$Q$2,$Q$8)</f>
      </c>
      <c r="S56" s="11">
        <v>0</v>
      </c>
      <c r="T56" s="11">
        <f>CEILING($Q$9/$F$11)*SUM(D56:S56)/1000</f>
      </c>
      <c r="U56" s="11">
        <f>CEILING(A56/B56)*T56+($F$11-1)*T56</f>
      </c>
      <c r="V56" s="11">
        <v>0.8</v>
      </c>
      <c r="W56" s="11">
        <f>B56/(T56/1000)*V56/$F$9/(1-$C$7)</f>
      </c>
      <c r="X56" s="11">
        <f>1000000*$N$15/24/60/60/W56</f>
      </c>
      <c r="Y56" s="11">
        <f>X56*$C$6</f>
      </c>
      <c r="Z56" s="11"/>
      <c r="AA56" s="11"/>
      <c r="AB56" s="2"/>
      <c r="AC56" s="2"/>
      <c r="AD56" s="2"/>
      <c r="AE56" s="2"/>
      <c r="AF56" s="2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>
      <c r="A57" s="1">
        <f>256*1024</f>
      </c>
      <c r="B57" s="1">
        <v>1024</v>
      </c>
      <c r="C57" s="1">
        <f>B57*$F$10</f>
      </c>
      <c r="D57" s="12">
        <f>_xlfn.LAMBDA(m,n,k, 2*m*n*k*1000*1000/$N$2/1024/1024/1024/1024/$I$9)(B57,$Q$10,$Q$2)</f>
      </c>
      <c r="E57" s="12">
        <f>_xlfn.LAMBDA(m,n,k, 2*m*n*k*1000*1000/$N$9/1024/1024/1024/1024/$I$9)(B57, $Q$3*(128+64)/$F$10, $Q$10)</f>
      </c>
      <c r="F57" s="13">
        <f>_xlfn.LAMBDA(m,n,k, 2*m*n*k*1000*1000/$N$9/1024/1024/1024/1024/$I$9)(B57,$Q$11*$Q$12,$Q$10)</f>
      </c>
      <c r="G57" s="11">
        <f>_xlfn.LAMBDA(m,n,k, 2*m*n*k*1000*1000/$N$9/1024/1024/1024/1024/$I$9)(B57,$Q$11,$Q$2)</f>
      </c>
      <c r="H57" s="11">
        <f>_xlfn.LAMBDA(m,n,k, 2*m*n*k*1000*1000/$N$14/1024/1024/1024/1024/$I$9)(B57,$Q$12,$Q$2)</f>
      </c>
      <c r="I57" s="11">
        <f>_xlfn.LAMBDA(seq_len, q_len, bs, 2*seq_len*seq_len/2*($Q$12*$Q$11/$N$12 + $Q$12/$N$14)*1000*1000/1024/1024/1024/1024/$K$13/(seq_len/B57))(A57,$C$3,B57)</f>
      </c>
      <c r="J57" s="11">
        <f>_xlfn.LAMBDA(m,n,k, 2*m*n*k*1000*1000/$N$9/1024/1024/1024/1024/$I$9)(B57,$Q$6,$Q$2)</f>
      </c>
      <c r="K57" s="11">
        <f>_xlfn.LAMBDA(b, m,n,k, 2*b*m*n*k*1000*1000/$N$14/1024/1024/1024/1024/$I$9)($Q$3, B57, 128, $Q$7)</f>
      </c>
      <c r="L57" s="11">
        <f>_xlfn.LAMBDA(seq_len, q_len, bs, (MAX(seq_len - 2048, 0) + seq_len) * 2048 / 2 * 1.8*2*$Q$3/$F$10*($Q$6 + $Q$7)*1000*1000/1000/1000/1000/1000/$N$12/$K$13/(A57/B57))(A57, A57,B57)</f>
      </c>
      <c r="M57" s="11">
        <f>_xlfn.LAMBDA(b, m,n,k, 2*b*m*n*k*1000*1000/$N$14/1024/1024/1024/1024/$I$9)($Q$3,B57, 128, $Q$7)</f>
      </c>
      <c r="N57" s="11">
        <f>_xlfn.LAMBDA(m,n,k, 2*m*n*k*1000*1000/$N$9/1024/1024/1024/1024/$I$9)(B57, $Q$3*128/$F$10, $Q$2)</f>
      </c>
      <c r="O57" s="11">
        <v>2000</v>
      </c>
      <c r="P57" s="11">
        <f>_xlfn.LAMBDA(tp_size, hidden_size, batch_size, 2*batch_size*(tp_size-1)/tp_size*hidden_size*1000*1000/$N$11/1024/1024/1024/$I$13)($F$10, $Q$2,B57)</f>
      </c>
      <c r="Q57" s="11">
        <f>_xlfn.LAMBDA(m,n,k, 2*m*n*k*1000*1000/$N$9/1024/1024/1024/1024/$I$10)(B57*$S$2/$F$12,$Q$8*2,$Q$2)</f>
      </c>
      <c r="R57" s="11">
        <f>_xlfn.LAMBDA(m,n,k, 2*m*n*k*1000*1000/$N$9/1024/1024/1024/1024/$I$10)(B57*$S$2/$F$12,$Q$2,$Q$8)</f>
      </c>
      <c r="S57" s="11">
        <v>0</v>
      </c>
      <c r="T57" s="11">
        <f>CEILING($Q$9/$F$11)*SUM(D57:S57)/1000</f>
      </c>
      <c r="U57" s="11">
        <f>CEILING(A57/B57)*T57+($F$11-1)*T57</f>
      </c>
      <c r="V57" s="11">
        <v>0.8</v>
      </c>
      <c r="W57" s="11">
        <f>B57/(T57/1000)*V57/$F$9/(1-$C$7)</f>
      </c>
      <c r="X57" s="11">
        <f>1000000*$N$15/24/60/60/W57</f>
      </c>
      <c r="Y57" s="11">
        <f>X57*$C$6</f>
      </c>
      <c r="Z57" s="11"/>
      <c r="AA57" s="11"/>
      <c r="AB57" s="2"/>
      <c r="AC57" s="2"/>
      <c r="AD57" s="2"/>
      <c r="AE57" s="2"/>
      <c r="AF57" s="2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</row>
    <row r="58">
      <c r="A58" s="2"/>
      <c r="B58" s="2"/>
      <c r="C58" s="2"/>
      <c r="D58" s="2"/>
      <c r="E58" s="2"/>
      <c r="F58" s="1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</row>
    <row r="59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</row>
    <row r="60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</row>
    <row r="6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</row>
    <row r="6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</row>
    <row r="6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</row>
    <row r="64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</row>
    <row r="6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>
      <c r="A125" s="1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>
      <c r="A126" s="1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>
      <c r="A127" s="1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>
      <c r="A128" s="1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>
      <c r="A129" s="1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>
      <c r="A130" s="1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>
      <c r="A131" s="1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>
      <c r="A132" s="1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>
      <c r="A133" s="1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>
      <c r="A134" s="1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>
      <c r="A135" s="1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>
      <c r="A136" s="1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>
      <c r="A137" s="1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>
      <c r="A138" s="1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>
      <c r="A139" s="1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>
      <c r="A140" s="1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>
      <c r="A141" s="1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>
      <c r="A142" s="1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>
      <c r="A143" s="1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>
      <c r="A144" s="1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>
      <c r="A145" s="1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>
      <c r="A146" s="1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>
      <c r="A147" s="1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>
      <c r="A148" s="1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>
      <c r="A149" s="1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>
      <c r="A150" s="1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>
      <c r="A151" s="1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>
      <c r="A152" s="1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>
      <c r="A153" s="1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>
      <c r="A154" s="1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>
      <c r="A155" s="1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>
      <c r="A156" s="1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>
      <c r="A157" s="1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>
      <c r="A158" s="1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>
      <c r="A159" s="1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>
      <c r="A160" s="1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>
      <c r="A161" s="1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>
      <c r="A162" s="1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>
      <c r="A163" s="1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>
      <c r="A164" s="1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>
      <c r="A165" s="1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>
      <c r="A166" s="1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>
      <c r="A167" s="1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>
      <c r="A168" s="1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>
      <c r="A169" s="1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>
      <c r="A170" s="1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>
      <c r="A171" s="1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>
      <c r="A172" s="1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>
      <c r="A173" s="1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>
      <c r="A174" s="1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>
      <c r="A175" s="1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>
      <c r="A176" s="1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>
      <c r="A177" s="1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>
      <c r="A178" s="1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>
      <c r="A179" s="1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>
      <c r="A180" s="1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>
      <c r="A181" s="1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>
      <c r="A182" s="1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>
      <c r="A183" s="1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>
      <c r="A184" s="1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>
      <c r="A185" s="1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>
      <c r="A186" s="1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>
      <c r="A187" s="1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>
      <c r="A188" s="1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>
      <c r="A189" s="1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>
      <c r="A190" s="1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>
      <c r="A191" s="1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</sheetData>
  <mergeCells>
    <mergeCell ref="A1:J1"/>
    <mergeCell ref="A2:A8"/>
    <mergeCell ref="D2:D8"/>
    <mergeCell ref="G2:G8"/>
    <mergeCell ref="L2:L8"/>
    <mergeCell ref="O2:O15"/>
    <mergeCell ref="D9:D15"/>
    <mergeCell ref="G9:G15"/>
    <mergeCell ref="L9:L15"/>
    <mergeCell ref="A19:BA19"/>
    <mergeCell ref="A40:Y40"/>
  </mergeCells>
  <dataValidations count="3">
    <dataValidation allowBlank="true" errorStyle="stop" showErrorMessage="true" sqref="C2" type="list">
      <formula1>"10240,5120,2048"</formula1>
    </dataValidation>
    <dataValidation allowBlank="true" errorStyle="stop" showErrorMessage="true" sqref="F3 F10" type="list">
      <formula1>"1,2,4,8"</formula1>
    </dataValidation>
    <dataValidation allowBlank="true" errorStyle="stop" showErrorMessage="true" sqref="F2 F9" type="list">
      <formula1>"8,16,32,64"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21"/>
    <col collapsed="false" customWidth="true" hidden="false" max="3" min="3" style="0" width="10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19"/>
    <col collapsed="false" customWidth="true" hidden="false" max="18" min="18" style="0" width="19"/>
    <col collapsed="false" customWidth="true" hidden="false" max="19" min="19" style="0" width="19"/>
    <col collapsed="false" customWidth="true" hidden="false" max="20" min="20" style="0" width="19"/>
    <col collapsed="false" customWidth="true" hidden="false" max="21" min="21" style="0" width="19"/>
    <col collapsed="false" customWidth="true" hidden="false" max="22" min="22" style="0" width="19"/>
    <col collapsed="false" customWidth="true" hidden="false" max="23" min="23" style="0" width="19"/>
    <col collapsed="false" customWidth="true" hidden="false" max="24" min="24" style="0" width="19"/>
    <col collapsed="false" customWidth="true" hidden="false" max="25" min="25" style="0" width="19"/>
    <col collapsed="false" customWidth="true" hidden="false" max="26" min="26" style="0" width="19"/>
    <col collapsed="false" customWidth="true" hidden="false" max="27" min="27" style="0" width="19"/>
    <col collapsed="false" customWidth="true" hidden="false" max="28" min="28" style="0" width="13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0"/>
    <col collapsed="false" customWidth="true" hidden="false" max="32" min="32" style="0" width="10"/>
    <col collapsed="false" customWidth="true" hidden="false" max="33" min="33" style="0" width="10"/>
    <col collapsed="false" customWidth="true" hidden="false" max="34" min="34" style="0" width="10"/>
    <col collapsed="false" customWidth="true" hidden="false" max="35" min="35" style="0" width="10"/>
    <col collapsed="false" customWidth="true" hidden="false" max="36" min="36" style="0" width="10"/>
    <col collapsed="false" customWidth="true" hidden="false" max="37" min="37" style="0" width="10"/>
    <col collapsed="false" customWidth="true" hidden="false" max="38" min="38" style="0" width="10"/>
    <col collapsed="false" customWidth="true" hidden="false" max="39" min="39" style="0" width="10"/>
    <col collapsed="false" customWidth="true" hidden="false" max="40" min="40" style="0" width="10"/>
    <col collapsed="false" customWidth="true" hidden="false" max="41" min="41" style="0" width="10"/>
    <col collapsed="false" customWidth="true" hidden="false" max="42" min="42" style="0" width="10"/>
    <col collapsed="false" customWidth="true" hidden="false" max="43" min="43" style="0" width="10"/>
    <col collapsed="false" customWidth="true" hidden="false" max="44" min="44" style="0" width="10"/>
    <col collapsed="false" customWidth="true" hidden="false" max="45" min="45" style="0" width="10"/>
    <col collapsed="false" customWidth="true" hidden="false" max="46" min="46" style="0" width="10"/>
    <col collapsed="false" customWidth="true" hidden="false" max="47" min="47" style="0" width="10"/>
    <col collapsed="false" customWidth="true" hidden="false" max="48" min="48" style="0" width="10"/>
    <col collapsed="false" customWidth="true" hidden="false" max="49" min="49" style="0" width="10"/>
    <col collapsed="false" customWidth="true" hidden="false" max="50" min="50" style="0" width="10"/>
    <col collapsed="false" customWidth="true" hidden="false" max="51" min="51" style="0" width="10"/>
    <col collapsed="false" customWidth="true" hidden="false" max="52" min="52" style="0" width="10"/>
    <col collapsed="false" customWidth="true" hidden="false" max="53" min="53" style="0" width="10"/>
    <col collapsed="false" customWidth="true" hidden="false" max="54" min="54" style="0" width="13"/>
    <col collapsed="false" customWidth="true" hidden="false" max="55" min="55" style="0" width="10"/>
    <col collapsed="false" customWidth="true" hidden="false" max="56" min="56" style="0" width="10"/>
    <col collapsed="false" customWidth="true" hidden="false" max="57" min="57" style="0" width="10"/>
    <col collapsed="false" customWidth="true" hidden="false" max="58" min="58" style="0" width="10"/>
    <col collapsed="false" customWidth="true" hidden="false" max="59" min="59" style="0" width="10"/>
    <col collapsed="false" customWidth="true" hidden="false" max="60" min="60" style="0" width="10"/>
    <col collapsed="false" customWidth="true" hidden="false" max="61" min="61" style="0" width="12"/>
    <col collapsed="false" customWidth="true" hidden="false" max="62" min="62" style="0" width="10"/>
    <col collapsed="false" customWidth="true" hidden="false" max="63" min="63" style="0" width="10"/>
    <col collapsed="false" customWidth="true" hidden="false" max="64" min="64" style="0" width="10"/>
    <col collapsed="false" customWidth="true" hidden="false" max="65" min="65" style="0" width="10"/>
    <col collapsed="false" customWidth="true" hidden="false" max="66" min="66" style="0" width="10"/>
    <col collapsed="false" customWidth="true" hidden="false" max="67" min="67" style="0" width="10"/>
    <col collapsed="false" customWidth="true" hidden="false" max="68" min="68" style="0" width="10"/>
    <col collapsed="false" customWidth="true" hidden="false" max="69" min="69" style="0" width="10"/>
    <col collapsed="false" customWidth="true" hidden="false" max="70" min="70" style="0" width="10"/>
    <col collapsed="false" customWidth="true" hidden="false" max="71" min="71" style="0" width="10"/>
  </cols>
  <sheetData>
    <row r="1">
      <c r="A1" s="25" t="str">
        <v>标绿的可以改，没标的不建议改，可以通过调整 Attention DP BatchSize 来控制 E2E 延迟</v>
      </c>
      <c r="B1" s="25"/>
      <c r="C1" s="25"/>
      <c r="D1" s="25"/>
      <c r="E1" s="25"/>
      <c r="F1" s="25"/>
      <c r="G1" s="25"/>
      <c r="H1" s="25"/>
      <c r="I1" s="25"/>
      <c r="J1" s="2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>
      <c r="A2" s="3" t="str">
        <v>Workload</v>
      </c>
      <c r="B2" s="4" t="str">
        <v>AVG SEQ_LEN</v>
      </c>
      <c r="C2" s="2">
        <v>5120</v>
      </c>
      <c r="D2" s="24" t="str">
        <v>Decode
并行配置
Decode 默认走DP+EP</v>
      </c>
      <c r="E2" s="1" t="str">
        <v>World Size</v>
      </c>
      <c r="F2" s="25">
        <v>8</v>
      </c>
      <c r="G2" s="3" t="str">
        <v>Decode SOL</v>
      </c>
      <c r="H2" s="1" t="str">
        <v>QKVGemm</v>
      </c>
      <c r="I2" s="23">
        <v>0.4</v>
      </c>
      <c r="J2" s="4" t="str">
        <v>OutProjGemm</v>
      </c>
      <c r="K2" s="23">
        <v>0.4943323544838017</v>
      </c>
      <c r="L2" s="3" t="str">
        <v>Decode
硬件参数</v>
      </c>
      <c r="M2" s="1" t="str">
        <v>ffn 算力(T)</v>
      </c>
      <c r="N2" s="4">
        <v>417</v>
      </c>
      <c r="O2" s="3" t="str">
        <v>模型结构</v>
      </c>
      <c r="P2" s="1" t="str">
        <v>hidden_size</v>
      </c>
      <c r="Q2" s="1">
        <v>7168</v>
      </c>
      <c r="R2" s="4" t="str">
        <v>top_k</v>
      </c>
      <c r="S2" s="4">
        <v>8</v>
      </c>
      <c r="T2" s="4" t="str">
        <v>num_share_experts</v>
      </c>
      <c r="U2" s="4">
        <v>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>
      <c r="A3" s="3"/>
      <c r="B3" s="1" t="str">
        <v>Spec Step</v>
      </c>
      <c r="C3" s="1">
        <v>1</v>
      </c>
      <c r="D3" s="24"/>
      <c r="E3" s="1" t="str">
        <v>Attn TP World Size</v>
      </c>
      <c r="F3" s="26">
        <v>8</v>
      </c>
      <c r="G3" s="3"/>
      <c r="H3" s="1" t="str">
        <v>GroupFFN0</v>
      </c>
      <c r="I3" s="23">
        <v>0.3</v>
      </c>
      <c r="J3" s="4" t="str">
        <v>ShareFFN0</v>
      </c>
      <c r="K3" s="23">
        <v>0.44</v>
      </c>
      <c r="L3" s="3"/>
      <c r="M3" s="1" t="str">
        <v>显存带宽(T)</v>
      </c>
      <c r="N3" s="26">
        <v>4.2</v>
      </c>
      <c r="O3" s="3"/>
      <c r="P3" s="1" t="str">
        <v>q_head_num</v>
      </c>
      <c r="Q3" s="1">
        <v>64</v>
      </c>
      <c r="R3" s="4" t="str">
        <v>num_experts</v>
      </c>
      <c r="S3" s="4">
        <v>384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>
      <c r="A4" s="3"/>
      <c r="B4" s="1" t="str">
        <v>Accept Rate</v>
      </c>
      <c r="C4" s="25">
        <v>0.8</v>
      </c>
      <c r="D4" s="24"/>
      <c r="E4" s="4" t="str">
        <v>Attn DP World Size</v>
      </c>
      <c r="F4" s="1">
        <f>F2/F3</f>
      </c>
      <c r="G4" s="3"/>
      <c r="H4" s="1" t="str">
        <v>GroupFFN1</v>
      </c>
      <c r="I4" s="23">
        <v>0.3</v>
      </c>
      <c r="J4" s="4" t="str">
        <v>ShareFFN1</v>
      </c>
      <c r="K4" s="23">
        <v>0.4</v>
      </c>
      <c r="L4" s="3"/>
      <c r="M4" s="1" t="str">
        <v>ar/ag/rs带宽</v>
      </c>
      <c r="N4" s="1">
        <v>448</v>
      </c>
      <c r="O4" s="3"/>
      <c r="P4" s="1" t="str">
        <v>k_head_num</v>
      </c>
      <c r="Q4" s="1">
        <v>1</v>
      </c>
      <c r="R4" s="1" t="str">
        <v>qkvo 参数量(B)</v>
      </c>
      <c r="S4" s="23"/>
      <c r="T4" s="4" t="str">
        <v>激活量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>
      <c r="A5" s="3"/>
      <c r="B5" s="4" t="str">
        <v>Accept Len</v>
      </c>
      <c r="C5" s="22">
        <f>(1-C4^C3)/(1-C4)</f>
      </c>
      <c r="D5" s="24"/>
      <c r="E5" s="1" t="str">
        <v>FFN World Size</v>
      </c>
      <c r="F5" s="1">
        <f>F2</f>
      </c>
      <c r="G5" s="3"/>
      <c r="H5" s="1" t="str">
        <v>Attention</v>
      </c>
      <c r="I5" s="23">
        <v>0.5</v>
      </c>
      <c r="J5" s="4" t="str">
        <v>访存 SOL</v>
      </c>
      <c r="K5" s="4">
        <v>0.7</v>
      </c>
      <c r="L5" s="3"/>
      <c r="M5" s="1" t="str">
        <v>attn 算力(T)</v>
      </c>
      <c r="N5" s="4">
        <v>173</v>
      </c>
      <c r="O5" s="3"/>
      <c r="P5" s="4" t="str">
        <v>v_head_num</v>
      </c>
      <c r="Q5" s="1">
        <v>1</v>
      </c>
      <c r="R5" s="1" t="str">
        <v>ffn 参数量(B)</v>
      </c>
      <c r="S5" s="23">
        <f>$Q$9*($Q$2*$Q$8*3*($S$3))/1024/1024/1024</f>
      </c>
      <c r="T5" s="4" t="str">
        <v>share_experts 参数量(B)</v>
      </c>
      <c r="U5" s="22">
        <f>$Q$9*($Q$2*$Q$8*3*$U$2)/1024/1024/1024</f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>
      <c r="A6" s="3"/>
      <c r="B6" s="4" t="str">
        <v>Cost3 系数</v>
      </c>
      <c r="C6" s="4">
        <v>1.5</v>
      </c>
      <c r="D6" s="24"/>
      <c r="E6" s="4" t="str">
        <v>显存总量(GB)</v>
      </c>
      <c r="F6" s="4">
        <v>96</v>
      </c>
      <c r="G6" s="3"/>
      <c r="H6" s="1" t="str">
        <v>NCCL(TP)</v>
      </c>
      <c r="I6" s="23">
        <v>0.4</v>
      </c>
      <c r="J6" s="4" t="str">
        <v>DSA</v>
      </c>
      <c r="K6" s="4">
        <v>0.7</v>
      </c>
      <c r="L6" s="3"/>
      <c r="M6" s="4" t="str">
        <v>all2all带宽(GB)</v>
      </c>
      <c r="N6" s="4">
        <v>448</v>
      </c>
      <c r="O6" s="3"/>
      <c r="P6" s="1" t="str">
        <v>k_head_dim</v>
      </c>
      <c r="Q6" s="1">
        <v>576</v>
      </c>
      <c r="R6" s="4" t="str">
        <v>buffer 预留(GB)</v>
      </c>
      <c r="S6" s="25">
        <v>1</v>
      </c>
      <c r="T6" s="4" t="str">
        <v>词表参数量(B)</v>
      </c>
      <c r="U6" s="22">
        <f>Q2*S8/1024/1024/1024</f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>
      <c r="A7" s="3"/>
      <c r="B7" s="4" t="str">
        <v>Prefix Cache命中率</v>
      </c>
      <c r="C7" s="4">
        <v>0</v>
      </c>
      <c r="D7" s="24"/>
      <c r="E7" s="4"/>
      <c r="F7" s="4"/>
      <c r="G7" s="3"/>
      <c r="H7" s="1" t="str">
        <v>NCCL(A2A)</v>
      </c>
      <c r="I7" s="23">
        <v>0.4</v>
      </c>
      <c r="J7" s="4"/>
      <c r="K7" s="4"/>
      <c r="L7" s="3"/>
      <c r="M7" s="4" t="str">
        <v>bf16算力(T)</v>
      </c>
      <c r="N7" s="4">
        <v>173</v>
      </c>
      <c r="O7" s="3"/>
      <c r="P7" s="4" t="str">
        <v>v_head_dim</v>
      </c>
      <c r="Q7" s="4">
        <v>512</v>
      </c>
      <c r="R7" s="4" t="str">
        <v>kv_cache_1_batch(MB)</v>
      </c>
      <c r="S7" s="22">
        <f>(Q4*Q6+Q5*Q7+Q12*Q11)/F3*C2/1024/1024</f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</row>
    <row r="8">
      <c r="A8" s="3"/>
      <c r="B8" s="4"/>
      <c r="C8" s="4"/>
      <c r="D8" s="24"/>
      <c r="E8" s="4"/>
      <c r="F8" s="4"/>
      <c r="G8" s="3"/>
      <c r="H8" s="1" t="str">
        <v>Elementwise</v>
      </c>
      <c r="I8" s="23">
        <v>0.5</v>
      </c>
      <c r="J8" s="4"/>
      <c r="K8" s="4"/>
      <c r="L8" s="3"/>
      <c r="M8" s="4" t="str">
        <v>成本(元/Day)</v>
      </c>
      <c r="N8" s="4">
        <v>100</v>
      </c>
      <c r="O8" s="3"/>
      <c r="P8" s="1" t="str">
        <v>ffn_dim</v>
      </c>
      <c r="Q8" s="1">
        <v>2048</v>
      </c>
      <c r="R8" s="4" t="str">
        <v>vocab_size</v>
      </c>
      <c r="S8" s="4">
        <v>155136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>
      <c r="A9" s="4"/>
      <c r="B9" s="4"/>
      <c r="C9" s="4"/>
      <c r="D9" s="24" t="str">
        <v>Prefill
并行配置
*prefill 默认走 PP</v>
      </c>
      <c r="E9" s="1" t="str">
        <v>World Size</v>
      </c>
      <c r="F9" s="25">
        <v>8</v>
      </c>
      <c r="G9" s="3" t="str">
        <v>Prefill
SOL</v>
      </c>
      <c r="H9" s="1" t="str">
        <v>QKVGemm</v>
      </c>
      <c r="I9" s="23">
        <v>0.5</v>
      </c>
      <c r="J9" s="4" t="str">
        <v>OutProjGemm</v>
      </c>
      <c r="K9" s="23">
        <v>0.4943323544838017</v>
      </c>
      <c r="L9" s="3" t="str">
        <v>Prefill
硬件参数</v>
      </c>
      <c r="M9" s="1" t="str">
        <v>ffn 算力(T)</v>
      </c>
      <c r="N9" s="4">
        <v>417</v>
      </c>
      <c r="O9" s="3"/>
      <c r="P9" s="1" t="str">
        <v>layers</v>
      </c>
      <c r="Q9" s="1">
        <v>61</v>
      </c>
      <c r="R9" s="4" t="str">
        <v>kv_mirror_layers</v>
      </c>
      <c r="S9" s="4">
        <v>0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>
      <c r="A10" s="1"/>
      <c r="B10" s="4"/>
      <c r="C10" s="28"/>
      <c r="D10" s="24"/>
      <c r="E10" s="1" t="str">
        <v>TP World Size</v>
      </c>
      <c r="F10" s="26">
        <v>1</v>
      </c>
      <c r="G10" s="3"/>
      <c r="H10" s="1" t="str">
        <v>GroupFFN0</v>
      </c>
      <c r="I10" s="23">
        <v>0.5</v>
      </c>
      <c r="J10" s="4" t="str">
        <v>ShareFFN0</v>
      </c>
      <c r="K10" s="23">
        <v>0.44</v>
      </c>
      <c r="L10" s="3"/>
      <c r="M10" s="1" t="str">
        <v>显存带宽(T)</v>
      </c>
      <c r="N10" s="26">
        <v>4.2</v>
      </c>
      <c r="O10" s="3"/>
      <c r="P10" s="4" t="str">
        <v>q_lora_rank</v>
      </c>
      <c r="Q10" s="4">
        <v>1536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>
      <c r="A11" s="4"/>
      <c r="B11" s="4"/>
      <c r="C11" s="4"/>
      <c r="D11" s="24"/>
      <c r="E11" s="4" t="str">
        <v>PP World Size</v>
      </c>
      <c r="F11" s="1">
        <f>F9/F10</f>
      </c>
      <c r="G11" s="3"/>
      <c r="H11" s="1" t="str">
        <v>GroupFFN1</v>
      </c>
      <c r="I11" s="23">
        <v>0.5</v>
      </c>
      <c r="J11" s="4" t="str">
        <v>ShareFFN1</v>
      </c>
      <c r="K11" s="23">
        <v>0.4</v>
      </c>
      <c r="L11" s="3"/>
      <c r="M11" s="1" t="str">
        <v>ar/ag/rs带宽</v>
      </c>
      <c r="N11" s="1">
        <v>448</v>
      </c>
      <c r="O11" s="3"/>
      <c r="P11" s="4" t="str">
        <v>index_head_dim</v>
      </c>
      <c r="Q11" s="4">
        <v>128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>
      <c r="A12" s="4"/>
      <c r="B12" s="4"/>
      <c r="C12" s="4"/>
      <c r="D12" s="24"/>
      <c r="E12" s="1" t="str">
        <v>FFN World Size</v>
      </c>
      <c r="F12" s="1">
        <f>F10</f>
      </c>
      <c r="G12" s="3"/>
      <c r="H12" s="1" t="str">
        <v>Attention</v>
      </c>
      <c r="I12" s="23">
        <v>0.5</v>
      </c>
      <c r="J12" s="4" t="str">
        <v>访存 SOL</v>
      </c>
      <c r="K12" s="4">
        <v>0.7</v>
      </c>
      <c r="L12" s="3"/>
      <c r="M12" s="1" t="str">
        <v>attn 算力(T)</v>
      </c>
      <c r="N12" s="4">
        <v>417</v>
      </c>
      <c r="O12" s="3"/>
      <c r="P12" s="4" t="str">
        <v>index_n_heads</v>
      </c>
      <c r="Q12" s="4">
        <v>64</v>
      </c>
      <c r="R12" s="1"/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>
      <c r="A13" s="4"/>
      <c r="B13" s="4"/>
      <c r="C13" s="4"/>
      <c r="D13" s="24"/>
      <c r="E13" s="4" t="str">
        <v>显存总量(GB)</v>
      </c>
      <c r="F13" s="4">
        <v>24</v>
      </c>
      <c r="G13" s="3"/>
      <c r="H13" s="1" t="str">
        <v>NCCL(TP)</v>
      </c>
      <c r="I13" s="23">
        <v>0.4</v>
      </c>
      <c r="J13" s="4" t="str">
        <v>DSA</v>
      </c>
      <c r="K13" s="4">
        <v>0.7</v>
      </c>
      <c r="L13" s="3"/>
      <c r="M13" s="4" t="str">
        <v>all2all带宽(GB)</v>
      </c>
      <c r="N13" s="4">
        <v>448</v>
      </c>
      <c r="O13" s="3"/>
      <c r="P13" s="4" t="str">
        <v>index_topk</v>
      </c>
      <c r="Q13" s="4">
        <v>2048</v>
      </c>
      <c r="R13" s="1"/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</row>
    <row r="14">
      <c r="A14" s="4"/>
      <c r="B14" s="4"/>
      <c r="C14" s="4"/>
      <c r="D14" s="24"/>
      <c r="E14" s="4"/>
      <c r="F14" s="4"/>
      <c r="G14" s="3"/>
      <c r="H14" s="1" t="str">
        <v>NCCL(A2A)</v>
      </c>
      <c r="I14" s="23">
        <v>0.5</v>
      </c>
      <c r="J14" s="4"/>
      <c r="K14" s="4"/>
      <c r="L14" s="3"/>
      <c r="M14" s="4" t="str">
        <v>bf16算力(T)</v>
      </c>
      <c r="N14" s="4">
        <v>173</v>
      </c>
      <c r="O14" s="3"/>
      <c r="P14" s="4" t="str">
        <v>use_sparse</v>
      </c>
      <c r="Q14" s="4">
        <v>1</v>
      </c>
      <c r="R14" s="4"/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</row>
    <row r="15">
      <c r="A15" s="4"/>
      <c r="B15" s="4"/>
      <c r="C15" s="4"/>
      <c r="D15" s="24"/>
      <c r="E15" s="4"/>
      <c r="F15" s="4"/>
      <c r="G15" s="3"/>
      <c r="H15" s="1" t="str">
        <v>Elementwise</v>
      </c>
      <c r="I15" s="23">
        <v>0.5</v>
      </c>
      <c r="J15" s="4"/>
      <c r="K15" s="4"/>
      <c r="L15" s="3"/>
      <c r="M15" s="4" t="str">
        <v>成本(元/Day)</v>
      </c>
      <c r="N15" s="4">
        <v>100</v>
      </c>
      <c r="O15" s="3"/>
      <c r="P15" s="4"/>
      <c r="Q15" s="4"/>
      <c r="R15" s="4"/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</row>
    <row r="16">
      <c r="A16" s="4"/>
      <c r="B16" s="4"/>
      <c r="C16" s="4"/>
      <c r="D16" s="4"/>
      <c r="E16" s="4"/>
      <c r="F16" s="4"/>
      <c r="G16" s="4"/>
      <c r="H16" s="28"/>
      <c r="I16" s="4"/>
      <c r="J16" s="4"/>
      <c r="K16" s="4"/>
      <c r="L16" s="4"/>
      <c r="M16" s="4"/>
      <c r="N16" s="4"/>
      <c r="O16" s="4"/>
      <c r="P16" s="4"/>
      <c r="Q16" s="4"/>
      <c r="R16" s="4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</row>
    <row r="19">
      <c r="A19" s="21" t="str">
        <v>Decoding 分段成本 MLA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</row>
    <row r="20">
      <c r="A20" s="1" t="str">
        <v>起始长度</v>
      </c>
      <c r="B20" s="1" t="str">
        <v>DP BatchSize</v>
      </c>
      <c r="C20" s="1" t="str">
        <v>Global BatchSize</v>
      </c>
      <c r="D20" s="1" t="str">
        <v>tps/card</v>
      </c>
      <c r="E20" s="1" t="str">
        <v>per_token耗时(ms)</v>
      </c>
      <c r="F20" s="1" t="str">
        <v>q_a_proj 计算耗时
*fixed</v>
      </c>
      <c r="G20" s="1" t="str">
        <v>q_a_proj 访存耗时</v>
      </c>
      <c r="H20" s="1" t="str">
        <v>q_b_proj 计算耗时</v>
      </c>
      <c r="I20" s="1" t="str">
        <v>q_b_proj 访存耗时</v>
      </c>
      <c r="J20" s="1" t="str">
        <v>k_b_proj 计算耗时
*bf16</v>
      </c>
      <c r="K20" s="1" t="str">
        <v>k_b_proj 访存耗时
*bf16</v>
      </c>
      <c r="L20" s="1" t="str">
        <v>kv_a_proj 计算耗时
*fixed</v>
      </c>
      <c r="M20" s="17" t="str">
        <v>v_b_proj 计算耗时 
*bf16</v>
      </c>
      <c r="N20" s="1" t="str">
        <v>v_b_proj 访存耗时 
*bf16</v>
      </c>
      <c r="O20" s="1" t="str">
        <v>o_proj 计算耗时</v>
      </c>
      <c r="P20" s="1" t="str">
        <v>o_proj 访存耗时</v>
      </c>
      <c r="Q20" s="20" t="str">
        <v>element_wise&amp;topk&amp;share</v>
      </c>
      <c r="R20" s="1" t="str">
        <v>all_reduce</v>
      </c>
      <c r="S20" s="17" t="str">
        <v>all2all_0
*包含dp不均损耗</v>
      </c>
      <c r="T20" s="17" t="str">
        <v>ffn0 计算耗时</v>
      </c>
      <c r="U20" s="17" t="str">
        <v>ffn0 访存耗时</v>
      </c>
      <c r="V20" s="1" t="str">
        <v>ffn1 计算耗时</v>
      </c>
      <c r="W20" s="1" t="str">
        <v>ffn1 访存耗时</v>
      </c>
      <c r="X20" s="1" t="str">
        <v>all2all_1
*包含ep不均损耗</v>
      </c>
      <c r="Y20" s="1" t="str">
        <v>all_gather</v>
      </c>
      <c r="Z20" s="1" t="str">
        <v>attn非sparse计算耗时</v>
      </c>
      <c r="AA20" s="1" t="str">
        <v>attn非sparse访存耗时</v>
      </c>
      <c r="AB20" s="1" t="str">
        <v>非sparse per_layer耗时</v>
      </c>
      <c r="AC20" s="1" t="str">
        <v>非sparse ffn耗时占比</v>
      </c>
      <c r="AD20" s="1" t="str">
        <v>非sparse attn耗时占比</v>
      </c>
      <c r="AE20" s="1" t="str">
        <v>非 sparse all_layer耗时(ms)</v>
      </c>
      <c r="AF20" s="1" t="str">
        <v>非 sparse  cost1成本(元/百万Token)</v>
      </c>
      <c r="AG20" s="1" t="str">
        <v>非 sparse cost3成本(元/百万Token)</v>
      </c>
      <c r="AX20" s="2"/>
      <c r="AY20" s="2"/>
      <c r="AZ20" s="2"/>
      <c r="BA20" s="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>
      <c r="A21" s="4">
        <v>1</v>
      </c>
      <c r="B21" s="4">
        <v>5</v>
      </c>
      <c r="C21" s="4">
        <f>B21*$F$2*$C$3</f>
      </c>
      <c r="D21" s="34">
        <f>B21*1000/E21</f>
      </c>
      <c r="E21" s="34">
        <f>(AE21+2)/$C$5</f>
      </c>
      <c r="F21" s="12">
        <v>10</v>
      </c>
      <c r="G21" s="12">
        <f>_xlfn.LAMBDA(m,n,k,(m*k+2*m*n+n*k)*1000*1000/$N$3/1024/1024/1024/1024/$K$5)(B21*$C$3,$Q$10,$Q$2)</f>
      </c>
      <c r="H21" s="12">
        <f>_xlfn.LAMBDA(m,n,k, 2*m*n*k*1000*1000/$N$2/1024/1024/1024/1024/$I$2)(B21*$C$3*$F$3, $Q$3*(128+64)/$F$3, $Q$10)</f>
      </c>
      <c r="I21" s="12">
        <f>_xlfn.LAMBDA(m,n,k,(m*k+2*m*n+n*k)*1000*1000/$N$3/1024/1024/1024/1024/$K$5)(B21*$C$3*$F$3, $Q$3*(128+64)/$F$3, $Q$10)</f>
      </c>
      <c r="J21" s="12">
        <f>_xlfn.LAMBDA(b, m,n,k, 2*b*m*n*k*1000*1000/$N$7/1024/1024/1024/1024/$I$2)($Q$3, B21*$C$3, 128, $Q$7)</f>
      </c>
      <c r="K21" s="12">
        <f>_xlfn.LAMBDA(b,m,n,k,b*(2*m*k+2*m*n+2*n*k)*1000*1000/$N$3/1024/1024/1024/1024/$K$5)($Q$3/$F$3, B21*$C$3*$F$3, 128, $Q$7)</f>
      </c>
      <c r="L21" s="12">
        <v>10</v>
      </c>
      <c r="M21" s="12">
        <f>_xlfn.LAMBDA(b, m,n,k, 2*b*m*n*k*1000*1000/$N$7/1024/1024/1024/1024/$I$2)($Q$3, B21*$C$3, 128, $Q$7)</f>
      </c>
      <c r="N21" s="12">
        <f>_xlfn.LAMBDA(b,m,n,k,b*(2*m*k+2*m*n+2*n*k)*1000*1000/$N$3/1024/1024/1024/1024/$K$5)($Q$3/$F$3, B21*$C$3*$F$3, 128, $Q$7)</f>
      </c>
      <c r="O21" s="12">
        <f>_xlfn.LAMBDA(m,n,k, 2*m*n*k*1000*1000/$N$2/1024/1024/1024/1024/$K$2)(B21*$C$3*$F$3, $Q$3*128/$F$3, $Q$2)</f>
      </c>
      <c r="P21" s="12">
        <f>_xlfn.LAMBDA(m,n,k,(m*k+2*m*n+n*k)*1000*1000/$N$3/1024/1024/1024/1024/$K$5)(B21*$C$3*$F$3, $Q$3*128/$F$3, $Q$2)</f>
      </c>
      <c r="Q21" s="12">
        <f>150 + $B21 *$C$3*$F$3 * 2.3</f>
      </c>
      <c r="R21" s="12">
        <f>_xlfn.LAMBDA(tp_size, hidden_size, batch_size, 2*batch_size*(tp_size-1)/tp_size*hidden_size*1000*1000/$N$4/1024/1024/1024/$I$6)($F$3, $Q$2,B21*$C$3*$F$3)</f>
      </c>
      <c r="S21" s="12">
        <f>_xlfn.LAMBDA(token_size_per_rank, to_nodes,hidden_size, sizeof_dtype, 50 + 4*token_size_per_rank * to_nodes * hidden_size*sizeof_dtype*1000*1000/$N$6/1024/1024/1024/$I$7)(B21*$C$5, MIN($F$2,$S$2), $Q$2, 1)</f>
      </c>
      <c r="T21" s="12">
        <f>_xlfn.LAMBDA(m,n,k, 2*m*n*k*1000*1000/$N$2/1024/1024/1024/1024/$I$3)(C21*$S$2/$F$5,$Q$8*2,$Q$2)</f>
      </c>
      <c r="U21" s="12">
        <f>_xlfn.LAMBDA(size_of_dtype, experts, ep_size, hidden_size, internal_dim, experts/ep_size*hidden_size*internal_dim*size_of_dtype/$N$3/$K$5/1024/1024/1024/1024*1000*1000)(0.5,$S$3,$F$5,$Q$2,$Q$8*2)</f>
      </c>
      <c r="V21" s="12">
        <f>_xlfn.LAMBDA(m,n,k, 2*m*n*k*1000*1000/$N$2/1024/1024/1024/1024/$I$3)(C21*$S$2/$F$5,$Q$2,$Q$8)</f>
      </c>
      <c r="W21" s="12">
        <f>_xlfn.LAMBDA(size_of_dtype, experts, ep_size, hidden_size, internal_dim, experts/ep_size*hidden_size*internal_dim*size_of_dtype/$N$3/$K$5/1024/1024/1024/1024*1000*1000)(0.5,$S$3,$F$5,$Q$8, $Q$2)</f>
      </c>
      <c r="X21" s="12">
        <f>S21</f>
      </c>
      <c r="Y21" s="12">
        <f>_xlfn.LAMBDA(tp_size, hidden_size, batch_size, batch_size*(tp_size-1)*hidden_size*1000*1000/$N$4/1024/1024/1024/$I$6)($F$3, $Q$2,B21*$C$3*$F$3)</f>
      </c>
      <c r="Z21" s="12">
        <f>_xlfn.LAMBDA(seq_len, q_len, bs, 2*seq_len*q_len*bs*$Q$3/$F$3*($Q$6 + $Q$7)*1000*1000/1024/1024/1024/1024/$N$5/$I$5)(A21,$C$3,B21)</f>
      </c>
      <c r="AA21" s="12">
        <f>_xlfn.LAMBDA(seq_len, q_len, bs, seq_len*bs*($Q$6 + $Q$7)*1000*1000/1024/1024/1024/1024/$N$3/$K$5)(A21,$C$3,B21)</f>
      </c>
      <c r="AB21" s="12">
        <f>MAX(F21,G21)+MAX(H21,I21)+MAX(J21,K21)+L21+MAX(Z21,AA21)+MAX(M21,N21)+MAX(O21,P21)+Q21+R21+S21+MAX(T21,U21)+MAX(V21,W21)+X21+Y21</f>
      </c>
      <c r="AC21" s="12">
        <f>(MAX(T21:U21)+MAX(V21:W21))/AB21</f>
      </c>
      <c r="AD21" s="12">
        <f>MAX(Z21:AA21)/AB21</f>
      </c>
      <c r="AE21" s="12">
        <f>AB21*$Q$9/1000</f>
      </c>
      <c r="AF21" s="13">
        <f>1000000*$N$8/24/60/60/D21</f>
      </c>
      <c r="AG21" s="13">
        <f>AF21*$C$6</f>
      </c>
      <c r="AX21" s="2"/>
      <c r="AY21" s="2"/>
      <c r="AZ21" s="2"/>
      <c r="BA21" s="2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</row>
    <row r="22">
      <c r="A22" s="4">
        <v>1024</v>
      </c>
      <c r="B22" s="4">
        <v>5</v>
      </c>
      <c r="C22" s="4">
        <f>B22*$F$2*$C$3</f>
      </c>
      <c r="D22" s="34">
        <f>B22*1000/E22</f>
      </c>
      <c r="E22" s="34">
        <f>(AE22+2)/$C$5</f>
      </c>
      <c r="F22" s="12">
        <v>10</v>
      </c>
      <c r="G22" s="12">
        <f>_xlfn.LAMBDA(m,n,k,(m*k+2*m*n+n*k)*1000*1000/$N$3/1024/1024/1024/1024/$K$5)(B22*$C$3,$Q$10,$Q$2)</f>
      </c>
      <c r="H22" s="12">
        <f>_xlfn.LAMBDA(m,n,k, 2*m*n*k*1000*1000/$N$2/1024/1024/1024/1024/$I$2)(B22*$C$3*$F$3, $Q$3*(128+64)/$F$3, $Q$10)</f>
      </c>
      <c r="I22" s="12">
        <f>_xlfn.LAMBDA(m,n,k,(m*k+2*m*n+n*k)*1000*1000/$N$3/1024/1024/1024/1024/$K$5)(B22*$C$3*$F$3, $Q$3*(128+64)/$F$3, $Q$10)</f>
      </c>
      <c r="J22" s="12">
        <f>_xlfn.LAMBDA(b, m,n,k, 2*b*m*n*k*1000*1000/$N$7/1024/1024/1024/1024/$I$2)($Q$3, B22*$C$3, 128, $Q$7)</f>
      </c>
      <c r="K22" s="12">
        <f>_xlfn.LAMBDA(b,m,n,k,b*(2*m*k+2*m*n+2*n*k)*1000*1000/$N$3/1024/1024/1024/1024/$K$5)($Q$3/$F$3, B22*$C$3*$F$3, 128, $Q$7)</f>
      </c>
      <c r="L22" s="12">
        <v>10</v>
      </c>
      <c r="M22" s="12">
        <f>_xlfn.LAMBDA(b, m,n,k, 2*b*m*n*k*1000*1000/$N$7/1024/1024/1024/1024/$I$2)($Q$3, B22*$C$3, 128, $Q$7)</f>
      </c>
      <c r="N22" s="12">
        <f>_xlfn.LAMBDA(b,m,n,k,b*(2*m*k+2*m*n+2*n*k)*1000*1000/$N$3/1024/1024/1024/1024/$K$5)($Q$3/$F$3, B22*$C$3*$F$3, 128, $Q$7)</f>
      </c>
      <c r="O22" s="12">
        <f>_xlfn.LAMBDA(m,n,k, 2*m*n*k*1000*1000/$N$2/1024/1024/1024/1024/$K$2)(B22*$C$3*$F$3, $Q$3*128/$F$3, $Q$2)</f>
      </c>
      <c r="P22" s="12">
        <f>_xlfn.LAMBDA(m,n,k,(m*k+2*m*n+n*k)*1000*1000/$N$3/1024/1024/1024/1024/$K$5)(B22*$C$3*$F$3, $Q$3*128/$F$3, $Q$2)</f>
      </c>
      <c r="Q22" s="12">
        <f>150 + $B22 *$C$3*$F$3 * 2.3</f>
      </c>
      <c r="R22" s="12">
        <f>_xlfn.LAMBDA(tp_size, hidden_size, batch_size, 2*batch_size*(tp_size-1)/tp_size*hidden_size*1000*1000/$N$4/1024/1024/1024/$I$6)($F$3, $Q$2,B22*$C$3*$F$3)</f>
      </c>
      <c r="S22" s="12">
        <f>_xlfn.LAMBDA(token_size_per_rank, to_nodes,hidden_size, sizeof_dtype, 50 + 4*token_size_per_rank * to_nodes * hidden_size*sizeof_dtype*1000*1000/$N$6/1024/1024/1024/$I$7)(B22*$C$5, MIN($F$2,$S$2), $Q$2, 1)</f>
      </c>
      <c r="T22" s="12">
        <f>_xlfn.LAMBDA(m,n,k, 2*m*n*k*1000*1000/$N$2/1024/1024/1024/1024/$I$3)(C22*$S$2/$F$5,$Q$8*2,$Q$2)</f>
      </c>
      <c r="U22" s="12">
        <f>_xlfn.LAMBDA(size_of_dtype, experts, ep_size, hidden_size, internal_dim, experts/ep_size*hidden_size*internal_dim*size_of_dtype/$N$3/$K$5/1024/1024/1024/1024*1000*1000)(0.5,$S$3,$F$5,$Q$2,$Q$8*2)</f>
      </c>
      <c r="V22" s="12">
        <f>_xlfn.LAMBDA(m,n,k, 2*m*n*k*1000*1000/$N$2/1024/1024/1024/1024/$I$3)(C22*$S$2/$F$5,$Q$2,$Q$8)</f>
      </c>
      <c r="W22" s="12">
        <f>_xlfn.LAMBDA(size_of_dtype, experts, ep_size, hidden_size, internal_dim, experts/ep_size*hidden_size*internal_dim*size_of_dtype/$N$3/$K$5/1024/1024/1024/1024*1000*1000)(0.5,$S$3,$F$5,$Q$8, $Q$2)</f>
      </c>
      <c r="X22" s="12">
        <f>S22</f>
      </c>
      <c r="Y22" s="12">
        <f>_xlfn.LAMBDA(tp_size, hidden_size, batch_size, batch_size*(tp_size-1)*hidden_size*1000*1000/$N$4/1024/1024/1024/$I$6)($F$3, $Q$2,B22*$C$3*$F$3)</f>
      </c>
      <c r="Z22" s="12">
        <f>_xlfn.LAMBDA(seq_len, q_len, bs, 2*seq_len*q_len*bs*$Q$3/$F$3*($Q$6 + $Q$7)*1000*1000/1024/1024/1024/1024/$N$5/$I$5)(A22,$C$3,B22)</f>
      </c>
      <c r="AA22" s="12">
        <f>_xlfn.LAMBDA(seq_len, q_len, bs, seq_len*bs*($Q$6 + $Q$7)*1000*1000/1024/1024/1024/1024/$N$3/$K$5)(A22,$C$3,B22)</f>
      </c>
      <c r="AB22" s="12">
        <f>MAX(F22,G22)+MAX(H22,I22)+MAX(J22,K22)+L22+MAX(Z22,AA22)+MAX(M22,N22)+MAX(O22,P22)+Q22+R22+S22+MAX(T22,U22)+MAX(V22,W22)+X22+Y22</f>
      </c>
      <c r="AC22" s="12">
        <f>(MAX(T22:U22)+MAX(V22:W22))/AB22</f>
      </c>
      <c r="AD22" s="12">
        <f>MAX(Z22:AA22)/AB22</f>
      </c>
      <c r="AE22" s="12">
        <f>AB22*$Q$9/1000</f>
      </c>
      <c r="AF22" s="13">
        <f>1000000*$N$8/24/60/60/D22</f>
      </c>
      <c r="AG22" s="13">
        <f>AF22*$C$6</f>
      </c>
      <c r="AX22" s="2"/>
      <c r="AY22" s="2"/>
      <c r="AZ22" s="2"/>
      <c r="BA22" s="2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</row>
    <row r="23">
      <c r="A23" s="4">
        <v>2048</v>
      </c>
      <c r="B23" s="4">
        <v>5</v>
      </c>
      <c r="C23" s="4">
        <f>B23*$F$2*$C$3</f>
      </c>
      <c r="D23" s="34">
        <f>B23*1000/E23</f>
      </c>
      <c r="E23" s="34">
        <f>(AE23+2)/$C$5</f>
      </c>
      <c r="F23" s="12">
        <v>10</v>
      </c>
      <c r="G23" s="12">
        <f>_xlfn.LAMBDA(m,n,k,(m*k+2*m*n+n*k)*1000*1000/$N$3/1024/1024/1024/1024/$K$5)(B23*$C$3,$Q$10,$Q$2)</f>
      </c>
      <c r="H23" s="12">
        <f>_xlfn.LAMBDA(m,n,k, 2*m*n*k*1000*1000/$N$2/1024/1024/1024/1024/$I$2)(B23*$C$3*$F$3, $Q$3*(128+64)/$F$3, $Q$10)</f>
      </c>
      <c r="I23" s="12">
        <f>_xlfn.LAMBDA(m,n,k,(m*k+2*m*n+n*k)*1000*1000/$N$3/1024/1024/1024/1024/$K$5)(B23*$C$3*$F$3, $Q$3*(128+64)/$F$3, $Q$10)</f>
      </c>
      <c r="J23" s="12">
        <f>_xlfn.LAMBDA(b, m,n,k, 2*b*m*n*k*1000*1000/$N$7/1024/1024/1024/1024/$I$2)($Q$3, B23*$C$3, 128, $Q$7)</f>
      </c>
      <c r="K23" s="12">
        <f>_xlfn.LAMBDA(b,m,n,k,b*(2*m*k+2*m*n+2*n*k)*1000*1000/$N$3/1024/1024/1024/1024/$K$5)($Q$3/$F$3, B23*$C$3*$F$3, 128, $Q$7)</f>
      </c>
      <c r="L23" s="12">
        <v>10</v>
      </c>
      <c r="M23" s="12">
        <f>_xlfn.LAMBDA(b, m,n,k, 2*b*m*n*k*1000*1000/$N$7/1024/1024/1024/1024/$I$2)($Q$3, B23*$C$3, 128, $Q$7)</f>
      </c>
      <c r="N23" s="12">
        <f>_xlfn.LAMBDA(b,m,n,k,b*(2*m*k+2*m*n+2*n*k)*1000*1000/$N$3/1024/1024/1024/1024/$K$5)($Q$3/$F$3, B23*$C$3*$F$3, 128, $Q$7)</f>
      </c>
      <c r="O23" s="12">
        <f>_xlfn.LAMBDA(m,n,k, 2*m*n*k*1000*1000/$N$2/1024/1024/1024/1024/$K$2)(B23*$C$3*$F$3, $Q$3*128/$F$3, $Q$2)</f>
      </c>
      <c r="P23" s="12">
        <f>_xlfn.LAMBDA(m,n,k,(m*k+2*m*n+n*k)*1000*1000/$N$3/1024/1024/1024/1024/$K$5)(B23*$C$3*$F$3, $Q$3*128/$F$3, $Q$2)</f>
      </c>
      <c r="Q23" s="12">
        <f>150 + $B23 *$C$3*$F$3 * 2.3</f>
      </c>
      <c r="R23" s="12">
        <f>_xlfn.LAMBDA(tp_size, hidden_size, batch_size, 2*batch_size*(tp_size-1)/tp_size*hidden_size*1000*1000/$N$4/1024/1024/1024/$I$6)($F$3, $Q$2,B23*$C$3*$F$3)</f>
      </c>
      <c r="S23" s="12">
        <f>_xlfn.LAMBDA(token_size_per_rank, to_nodes,hidden_size, sizeof_dtype, 50 + 4*token_size_per_rank * to_nodes * hidden_size*sizeof_dtype*1000*1000/$N$6/1024/1024/1024/$I$7)(B23*$C$5, MIN($F$2,$S$2), $Q$2, 1)</f>
      </c>
      <c r="T23" s="12">
        <f>_xlfn.LAMBDA(m,n,k, 2*m*n*k*1000*1000/$N$2/1024/1024/1024/1024/$I$3)(C23*$S$2/$F$5,$Q$8*2,$Q$2)</f>
      </c>
      <c r="U23" s="12">
        <f>_xlfn.LAMBDA(size_of_dtype, experts, ep_size, hidden_size, internal_dim, experts/ep_size*hidden_size*internal_dim*size_of_dtype/$N$3/$K$5/1024/1024/1024/1024*1000*1000)(0.5,$S$3,$F$5,$Q$2,$Q$8*2)</f>
      </c>
      <c r="V23" s="12">
        <f>_xlfn.LAMBDA(m,n,k, 2*m*n*k*1000*1000/$N$2/1024/1024/1024/1024/$I$3)(C23*$S$2/$F$5,$Q$2,$Q$8)</f>
      </c>
      <c r="W23" s="12">
        <f>_xlfn.LAMBDA(size_of_dtype, experts, ep_size, hidden_size, internal_dim, experts/ep_size*hidden_size*internal_dim*size_of_dtype/$N$3/$K$5/1024/1024/1024/1024*1000*1000)(0.5,$S$3,$F$5,$Q$8, $Q$2)</f>
      </c>
      <c r="X23" s="12">
        <f>S23</f>
      </c>
      <c r="Y23" s="12">
        <f>_xlfn.LAMBDA(tp_size, hidden_size, batch_size, batch_size*(tp_size-1)*hidden_size*1000*1000/$N$4/1024/1024/1024/$I$6)($F$3, $Q$2,B23*$C$3*$F$3)</f>
      </c>
      <c r="Z23" s="12">
        <f>_xlfn.LAMBDA(seq_len, q_len, bs, 2*seq_len*q_len*bs*$Q$3/$F$3*($Q$6 + $Q$7)*1000*1000/1024/1024/1024/1024/$N$5/$I$5)(A23,$C$3,B23)</f>
      </c>
      <c r="AA23" s="12">
        <f>_xlfn.LAMBDA(seq_len, q_len, bs, seq_len*bs*($Q$6 + $Q$7)*1000*1000/1024/1024/1024/1024/$N$3/$K$5)(A23,$C$3,B23)</f>
      </c>
      <c r="AB23" s="12">
        <f>MAX(F23,G23)+MAX(H23,I23)+MAX(J23,K23)+L23+MAX(Z23,AA23)+MAX(M23,N23)+MAX(O23,P23)+Q23+R23+S23+MAX(T23,U23)+MAX(V23,W23)+X23+Y23</f>
      </c>
      <c r="AC23" s="12">
        <f>(MAX(T23:U23)+MAX(V23:W23))/AB23</f>
      </c>
      <c r="AD23" s="12">
        <f>MAX(Z23:AA23)/AB23</f>
      </c>
      <c r="AE23" s="12">
        <f>AB23*$Q$9/1000</f>
      </c>
      <c r="AF23" s="13">
        <f>1000000*$N$8/24/60/60/D23</f>
      </c>
      <c r="AG23" s="13">
        <f>AF23*$C$6</f>
      </c>
      <c r="AX23" s="2"/>
      <c r="AY23" s="2"/>
      <c r="AZ23" s="2"/>
      <c r="BA23" s="2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</row>
    <row r="24">
      <c r="A24" s="4">
        <v>3072</v>
      </c>
      <c r="B24" s="4">
        <v>5</v>
      </c>
      <c r="C24" s="4">
        <f>B24*$F$2*$C$3</f>
      </c>
      <c r="D24" s="34">
        <f>B24*1000/E24</f>
      </c>
      <c r="E24" s="34">
        <f>(AE24+2)/$C$5</f>
      </c>
      <c r="F24" s="12">
        <v>10</v>
      </c>
      <c r="G24" s="12">
        <f>_xlfn.LAMBDA(m,n,k,(m*k+2*m*n+n*k)*1000*1000/$N$3/1024/1024/1024/1024/$K$5)(B24*$C$3,$Q$10,$Q$2)</f>
      </c>
      <c r="H24" s="12">
        <f>_xlfn.LAMBDA(m,n,k, 2*m*n*k*1000*1000/$N$2/1024/1024/1024/1024/$I$2)(B24*$C$3*$F$3, $Q$3*(128+64)/$F$3, $Q$10)</f>
      </c>
      <c r="I24" s="12">
        <f>_xlfn.LAMBDA(m,n,k,(m*k+2*m*n+n*k)*1000*1000/$N$3/1024/1024/1024/1024/$K$5)(B24*$C$3*$F$3, $Q$3*(128+64)/$F$3, $Q$10)</f>
      </c>
      <c r="J24" s="12">
        <f>_xlfn.LAMBDA(b, m,n,k, 2*b*m*n*k*1000*1000/$N$7/1024/1024/1024/1024/$I$2)($Q$3, B24*$C$3, 128, $Q$7)</f>
      </c>
      <c r="K24" s="12">
        <f>_xlfn.LAMBDA(b,m,n,k,b*(2*m*k+2*m*n+2*n*k)*1000*1000/$N$3/1024/1024/1024/1024/$K$5)($Q$3/$F$3, B24*$C$3*$F$3, 128, $Q$7)</f>
      </c>
      <c r="L24" s="12">
        <v>10</v>
      </c>
      <c r="M24" s="12">
        <f>_xlfn.LAMBDA(b, m,n,k, 2*b*m*n*k*1000*1000/$N$7/1024/1024/1024/1024/$I$2)($Q$3, B24*$C$3, 128, $Q$7)</f>
      </c>
      <c r="N24" s="12">
        <f>_xlfn.LAMBDA(b,m,n,k,b*(2*m*k+2*m*n+2*n*k)*1000*1000/$N$3/1024/1024/1024/1024/$K$5)($Q$3/$F$3, B24*$C$3*$F$3, 128, $Q$7)</f>
      </c>
      <c r="O24" s="12">
        <f>_xlfn.LAMBDA(m,n,k, 2*m*n*k*1000*1000/$N$2/1024/1024/1024/1024/$K$2)(B24*$C$3*$F$3, $Q$3*128/$F$3, $Q$2)</f>
      </c>
      <c r="P24" s="12">
        <f>_xlfn.LAMBDA(m,n,k,(m*k+2*m*n+n*k)*1000*1000/$N$3/1024/1024/1024/1024/$K$5)(B24*$C$3*$F$3, $Q$3*128/$F$3, $Q$2)</f>
      </c>
      <c r="Q24" s="12">
        <f>150 + $B24 *$C$3*$F$3 * 2.3</f>
      </c>
      <c r="R24" s="12">
        <f>_xlfn.LAMBDA(tp_size, hidden_size, batch_size, 2*batch_size*(tp_size-1)/tp_size*hidden_size*1000*1000/$N$4/1024/1024/1024/$I$6)($F$3, $Q$2,B24*$C$3*$F$3)</f>
      </c>
      <c r="S24" s="12">
        <f>_xlfn.LAMBDA(token_size_per_rank, to_nodes,hidden_size, sizeof_dtype, 50 + 4*token_size_per_rank * to_nodes * hidden_size*sizeof_dtype*1000*1000/$N$6/1024/1024/1024/$I$7)(B24*$C$5, MIN($F$2,$S$2), $Q$2, 1)</f>
      </c>
      <c r="T24" s="12">
        <f>_xlfn.LAMBDA(m,n,k, 2*m*n*k*1000*1000/$N$2/1024/1024/1024/1024/$I$3)(C24*$S$2/$F$5,$Q$8*2,$Q$2)</f>
      </c>
      <c r="U24" s="12">
        <f>_xlfn.LAMBDA(size_of_dtype, experts, ep_size, hidden_size, internal_dim, experts/ep_size*hidden_size*internal_dim*size_of_dtype/$N$3/$K$5/1024/1024/1024/1024*1000*1000)(0.5,$S$3,$F$5,$Q$2,$Q$8*2)</f>
      </c>
      <c r="V24" s="12">
        <f>_xlfn.LAMBDA(m,n,k, 2*m*n*k*1000*1000/$N$2/1024/1024/1024/1024/$I$3)(C24*$S$2/$F$5,$Q$2,$Q$8)</f>
      </c>
      <c r="W24" s="12">
        <f>_xlfn.LAMBDA(size_of_dtype, experts, ep_size, hidden_size, internal_dim, experts/ep_size*hidden_size*internal_dim*size_of_dtype/$N$3/$K$5/1024/1024/1024/1024*1000*1000)(0.5,$S$3,$F$5,$Q$8, $Q$2)</f>
      </c>
      <c r="X24" s="12">
        <f>S24</f>
      </c>
      <c r="Y24" s="12">
        <f>_xlfn.LAMBDA(tp_size, hidden_size, batch_size, batch_size*(tp_size-1)*hidden_size*1000*1000/$N$4/1024/1024/1024/$I$6)($F$3, $Q$2,B24*$C$3*$F$3)</f>
      </c>
      <c r="Z24" s="12">
        <f>_xlfn.LAMBDA(seq_len, q_len, bs, 2*seq_len*q_len*bs*$Q$3/$F$3*($Q$6 + $Q$7)*1000*1000/1024/1024/1024/1024/$N$5/$I$5)(A24,$C$3,B24)</f>
      </c>
      <c r="AA24" s="12">
        <f>_xlfn.LAMBDA(seq_len, q_len, bs, seq_len*bs*($Q$6 + $Q$7)*1000*1000/1024/1024/1024/1024/$N$3/$K$5)(A24,$C$3,B24)</f>
      </c>
      <c r="AB24" s="12">
        <f>MAX(F24,G24)+MAX(H24,I24)+MAX(J24,K24)+L24+MAX(Z24,AA24)+MAX(M24,N24)+MAX(O24,P24)+Q24+R24+S24+MAX(T24,U24)+MAX(V24,W24)+X24+Y24</f>
      </c>
      <c r="AC24" s="12">
        <f>(MAX(T24:U24)+MAX(V24:W24))/AB24</f>
      </c>
      <c r="AD24" s="12">
        <f>MAX(Z24:AA24)/AB24</f>
      </c>
      <c r="AE24" s="12">
        <f>AB24*$Q$9/1000</f>
      </c>
      <c r="AF24" s="13">
        <f>1000000*$N$8/24/60/60/D24</f>
      </c>
      <c r="AG24" s="13">
        <f>AF24*$C$6</f>
      </c>
      <c r="AX24" s="2"/>
      <c r="AY24" s="2"/>
      <c r="AZ24" s="2"/>
      <c r="BA24" s="2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</row>
    <row r="25">
      <c r="A25" s="4">
        <v>4096</v>
      </c>
      <c r="B25" s="4">
        <v>5</v>
      </c>
      <c r="C25" s="4">
        <f>B25*$F$2*$C$3</f>
      </c>
      <c r="D25" s="34">
        <f>B25*1000/E25</f>
      </c>
      <c r="E25" s="34">
        <f>(AE25+2)/$C$5</f>
      </c>
      <c r="F25" s="12">
        <v>10</v>
      </c>
      <c r="G25" s="12">
        <f>_xlfn.LAMBDA(m,n,k,(m*k+2*m*n+n*k)*1000*1000/$N$3/1024/1024/1024/1024/$K$5)(B25*$C$3,$Q$10,$Q$2)</f>
      </c>
      <c r="H25" s="12">
        <f>_xlfn.LAMBDA(m,n,k, 2*m*n*k*1000*1000/$N$2/1024/1024/1024/1024/$I$2)(B25*$C$3*$F$3, $Q$3*(128+64)/$F$3, $Q$10)</f>
      </c>
      <c r="I25" s="12">
        <f>_xlfn.LAMBDA(m,n,k,(m*k+2*m*n+n*k)*1000*1000/$N$3/1024/1024/1024/1024/$K$5)(B25*$C$3*$F$3, $Q$3*(128+64)/$F$3, $Q$10)</f>
      </c>
      <c r="J25" s="12">
        <f>_xlfn.LAMBDA(b, m,n,k, 2*b*m*n*k*1000*1000/$N$7/1024/1024/1024/1024/$I$2)($Q$3, B25*$C$3, 128, $Q$7)</f>
      </c>
      <c r="K25" s="12">
        <f>_xlfn.LAMBDA(b,m,n,k,b*(2*m*k+2*m*n+2*n*k)*1000*1000/$N$3/1024/1024/1024/1024/$K$5)($Q$3/$F$3, B25*$C$3*$F$3, 128, $Q$7)</f>
      </c>
      <c r="L25" s="12">
        <v>10</v>
      </c>
      <c r="M25" s="12">
        <f>_xlfn.LAMBDA(b, m,n,k, 2*b*m*n*k*1000*1000/$N$7/1024/1024/1024/1024/$I$2)($Q$3, B25*$C$3, 128, $Q$7)</f>
      </c>
      <c r="N25" s="12">
        <f>_xlfn.LAMBDA(b,m,n,k,b*(2*m*k+2*m*n+2*n*k)*1000*1000/$N$3/1024/1024/1024/1024/$K$5)($Q$3/$F$3, B25*$C$3*$F$3, 128, $Q$7)</f>
      </c>
      <c r="O25" s="12">
        <f>_xlfn.LAMBDA(m,n,k, 2*m*n*k*1000*1000/$N$2/1024/1024/1024/1024/$K$2)(B25*$C$3*$F$3, $Q$3*128/$F$3, $Q$2)</f>
      </c>
      <c r="P25" s="12">
        <f>_xlfn.LAMBDA(m,n,k,(m*k+2*m*n+n*k)*1000*1000/$N$3/1024/1024/1024/1024/$K$5)(B25*$C$3*$F$3, $Q$3*128/$F$3, $Q$2)</f>
      </c>
      <c r="Q25" s="12">
        <f>150 + $B25 *$C$3*$F$3 * 2.3</f>
      </c>
      <c r="R25" s="12">
        <f>_xlfn.LAMBDA(tp_size, hidden_size, batch_size, 2*batch_size*(tp_size-1)/tp_size*hidden_size*1000*1000/$N$4/1024/1024/1024/$I$6)($F$3, $Q$2,B25*$C$3*$F$3)</f>
      </c>
      <c r="S25" s="12">
        <f>_xlfn.LAMBDA(token_size_per_rank, to_nodes,hidden_size, sizeof_dtype, 50 + 4*token_size_per_rank * to_nodes * hidden_size*sizeof_dtype*1000*1000/$N$6/1024/1024/1024/$I$7)(B25*$C$5, MIN($F$2,$S$2), $Q$2, 1)</f>
      </c>
      <c r="T25" s="12">
        <f>_xlfn.LAMBDA(m,n,k, 2*m*n*k*1000*1000/$N$2/1024/1024/1024/1024/$I$3)(C25*$S$2/$F$5,$Q$8*2,$Q$2)</f>
      </c>
      <c r="U25" s="12">
        <f>_xlfn.LAMBDA(size_of_dtype, experts, ep_size, hidden_size, internal_dim, experts/ep_size*hidden_size*internal_dim*size_of_dtype/$N$3/$K$5/1024/1024/1024/1024*1000*1000)(0.5,$S$3,$F$5,$Q$2,$Q$8*2)</f>
      </c>
      <c r="V25" s="12">
        <f>_xlfn.LAMBDA(m,n,k, 2*m*n*k*1000*1000/$N$2/1024/1024/1024/1024/$I$3)(C25*$S$2/$F$5,$Q$2,$Q$8)</f>
      </c>
      <c r="W25" s="12">
        <f>_xlfn.LAMBDA(size_of_dtype, experts, ep_size, hidden_size, internal_dim, experts/ep_size*hidden_size*internal_dim*size_of_dtype/$N$3/$K$5/1024/1024/1024/1024*1000*1000)(0.5,$S$3,$F$5,$Q$8, $Q$2)</f>
      </c>
      <c r="X25" s="12">
        <f>S25</f>
      </c>
      <c r="Y25" s="12">
        <f>_xlfn.LAMBDA(tp_size, hidden_size, batch_size, batch_size*(tp_size-1)*hidden_size*1000*1000/$N$4/1024/1024/1024/$I$6)($F$3, $Q$2,B25*$C$3*$F$3)</f>
      </c>
      <c r="Z25" s="12">
        <f>_xlfn.LAMBDA(seq_len, q_len, bs, 2*seq_len*q_len*bs*$Q$3/$F$3*($Q$6 + $Q$7)*1000*1000/1024/1024/1024/1024/$N$5/$I$5)(A25,$C$3,B25)</f>
      </c>
      <c r="AA25" s="12">
        <f>_xlfn.LAMBDA(seq_len, q_len, bs, seq_len*bs*($Q$6 + $Q$7)*1000*1000/1024/1024/1024/1024/$N$3/$K$5)(A25,$C$3,B25)</f>
      </c>
      <c r="AB25" s="12">
        <f>MAX(F25,G25)+MAX(H25,I25)+MAX(J25,K25)+L25+MAX(Z25,AA25)+MAX(M25,N25)+MAX(O25,P25)+Q25+R25+S25+MAX(T25,U25)+MAX(V25,W25)+X25+Y25</f>
      </c>
      <c r="AC25" s="12">
        <f>(MAX(T25:U25)+MAX(V25:W25))/AB25</f>
      </c>
      <c r="AD25" s="12">
        <f>MAX(Z25:AA25)/AB25</f>
      </c>
      <c r="AE25" s="12">
        <f>AB25*$Q$9/1000</f>
      </c>
      <c r="AF25" s="13">
        <f>1000000*$N$8/24/60/60/D25</f>
      </c>
      <c r="AG25" s="13">
        <f>AF25*$C$6</f>
      </c>
      <c r="AX25" s="2"/>
      <c r="AY25" s="2"/>
      <c r="AZ25" s="2"/>
      <c r="BA25" s="2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</row>
    <row r="26">
      <c r="A26" s="4">
        <v>8192</v>
      </c>
      <c r="B26" s="4">
        <v>5</v>
      </c>
      <c r="C26" s="4">
        <f>B26*$F$2*$C$3</f>
      </c>
      <c r="D26" s="34">
        <f>B26*1000/E26</f>
      </c>
      <c r="E26" s="34">
        <f>(AE26+2)/$C$5</f>
      </c>
      <c r="F26" s="12">
        <v>10</v>
      </c>
      <c r="G26" s="12">
        <f>_xlfn.LAMBDA(m,n,k,(m*k+2*m*n+n*k)*1000*1000/$N$3/1024/1024/1024/1024/$K$5)(B26*$C$3,$Q$10,$Q$2)</f>
      </c>
      <c r="H26" s="12">
        <f>_xlfn.LAMBDA(m,n,k, 2*m*n*k*1000*1000/$N$2/1024/1024/1024/1024/$I$2)(B26*$C$3*$F$3, $Q$3*(128+64)/$F$3, $Q$10)</f>
      </c>
      <c r="I26" s="12">
        <f>_xlfn.LAMBDA(m,n,k,(m*k+2*m*n+n*k)*1000*1000/$N$3/1024/1024/1024/1024/$K$5)(B26*$C$3*$F$3, $Q$3*(128+64)/$F$3, $Q$10)</f>
      </c>
      <c r="J26" s="12">
        <f>_xlfn.LAMBDA(b, m,n,k, 2*b*m*n*k*1000*1000/$N$7/1024/1024/1024/1024/$I$2)($Q$3, B26*$C$3, 128, $Q$7)</f>
      </c>
      <c r="K26" s="12">
        <f>_xlfn.LAMBDA(b,m,n,k,b*(2*m*k+2*m*n+2*n*k)*1000*1000/$N$3/1024/1024/1024/1024/$K$5)($Q$3/$F$3, B26*$C$3*$F$3, 128, $Q$7)</f>
      </c>
      <c r="L26" s="12">
        <v>10</v>
      </c>
      <c r="M26" s="12">
        <f>_xlfn.LAMBDA(b, m,n,k, 2*b*m*n*k*1000*1000/$N$7/1024/1024/1024/1024/$I$2)($Q$3, B26*$C$3, 128, $Q$7)</f>
      </c>
      <c r="N26" s="12">
        <f>_xlfn.LAMBDA(b,m,n,k,b*(2*m*k+2*m*n+2*n*k)*1000*1000/$N$3/1024/1024/1024/1024/$K$5)($Q$3/$F$3, B26*$C$3*$F$3, 128, $Q$7)</f>
      </c>
      <c r="O26" s="12">
        <f>_xlfn.LAMBDA(m,n,k, 2*m*n*k*1000*1000/$N$2/1024/1024/1024/1024/$K$2)(B26*$C$3*$F$3, $Q$3*128/$F$3, $Q$2)</f>
      </c>
      <c r="P26" s="12">
        <f>_xlfn.LAMBDA(m,n,k,(m*k+2*m*n+n*k)*1000*1000/$N$3/1024/1024/1024/1024/$K$5)(B26*$C$3*$F$3, $Q$3*128/$F$3, $Q$2)</f>
      </c>
      <c r="Q26" s="12">
        <f>150 + $B26 *$C$3*$F$3 * 2.3</f>
      </c>
      <c r="R26" s="12">
        <f>_xlfn.LAMBDA(tp_size, hidden_size, batch_size, 2*batch_size*(tp_size-1)/tp_size*hidden_size*1000*1000/$N$4/1024/1024/1024/$I$6)($F$3, $Q$2,B26*$C$3*$F$3)</f>
      </c>
      <c r="S26" s="12">
        <f>_xlfn.LAMBDA(token_size_per_rank, to_nodes,hidden_size, sizeof_dtype, 50 + 4*token_size_per_rank * to_nodes * hidden_size*sizeof_dtype*1000*1000/$N$6/1024/1024/1024/$I$7)(B26*$C$5, MIN($F$2,$S$2), $Q$2, 1)</f>
      </c>
      <c r="T26" s="12">
        <f>_xlfn.LAMBDA(m,n,k, 2*m*n*k*1000*1000/$N$2/1024/1024/1024/1024/$I$3)(C26*$S$2/$F$5,$Q$8*2,$Q$2)</f>
      </c>
      <c r="U26" s="12">
        <f>_xlfn.LAMBDA(size_of_dtype, experts, ep_size, hidden_size, internal_dim, experts/ep_size*hidden_size*internal_dim*size_of_dtype/$N$3/$K$5/1024/1024/1024/1024*1000*1000)(0.5,$S$3,$F$5,$Q$2,$Q$8*2)</f>
      </c>
      <c r="V26" s="12">
        <f>_xlfn.LAMBDA(m,n,k, 2*m*n*k*1000*1000/$N$2/1024/1024/1024/1024/$I$3)(C26*$S$2/$F$5,$Q$2,$Q$8)</f>
      </c>
      <c r="W26" s="12">
        <f>_xlfn.LAMBDA(size_of_dtype, experts, ep_size, hidden_size, internal_dim, experts/ep_size*hidden_size*internal_dim*size_of_dtype/$N$3/$K$5/1024/1024/1024/1024*1000*1000)(0.5,$S$3,$F$5,$Q$8, $Q$2)</f>
      </c>
      <c r="X26" s="12">
        <f>S26</f>
      </c>
      <c r="Y26" s="12">
        <f>_xlfn.LAMBDA(tp_size, hidden_size, batch_size, batch_size*(tp_size-1)*hidden_size*1000*1000/$N$4/1024/1024/1024/$I$6)($F$3, $Q$2,B26*$C$3*$F$3)</f>
      </c>
      <c r="Z26" s="12">
        <f>_xlfn.LAMBDA(seq_len, q_len, bs, 2*seq_len*q_len*bs*$Q$3/$F$3*($Q$6 + $Q$7)*1000*1000/1024/1024/1024/1024/$N$5/$I$5)(A26,$C$3,B26)</f>
      </c>
      <c r="AA26" s="12">
        <f>_xlfn.LAMBDA(seq_len, q_len, bs, seq_len*bs*($Q$6 + $Q$7)*1000*1000/1024/1024/1024/1024/$N$3/$K$5)(A26,$C$3,B26)</f>
      </c>
      <c r="AB26" s="12">
        <f>MAX(F26,G26)+MAX(H26,I26)+MAX(J26,K26)+L26+MAX(Z26,AA26)+MAX(M26,N26)+MAX(O26,P26)+Q26+R26+S26+MAX(T26,U26)+MAX(V26,W26)+X26+Y26</f>
      </c>
      <c r="AC26" s="12">
        <f>(MAX(T26:U26)+MAX(V26:W26))/AB26</f>
      </c>
      <c r="AD26" s="12">
        <f>MAX(Z26:AA26)/AB26</f>
      </c>
      <c r="AE26" s="12">
        <f>AB26*$Q$9/1000</f>
      </c>
      <c r="AF26" s="13">
        <f>1000000*$N$8/24/60/60/D26</f>
      </c>
      <c r="AG26" s="13">
        <f>AF26*$C$6</f>
      </c>
      <c r="AX26" s="2"/>
      <c r="AY26" s="2"/>
      <c r="AZ26" s="2"/>
      <c r="BA26" s="2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</row>
    <row r="27">
      <c r="A27" s="4">
        <v>10240</v>
      </c>
      <c r="B27" s="4">
        <v>5</v>
      </c>
      <c r="C27" s="4">
        <f>B27*$F$2*$C$3</f>
      </c>
      <c r="D27" s="34">
        <f>B27*1000/E27</f>
      </c>
      <c r="E27" s="34">
        <f>(AE27+2)/$C$5</f>
      </c>
      <c r="F27" s="12">
        <v>10</v>
      </c>
      <c r="G27" s="12">
        <f>_xlfn.LAMBDA(m,n,k,(m*k+2*m*n+n*k)*1000*1000/$N$3/1024/1024/1024/1024/$K$5)(B27*$C$3,$Q$10,$Q$2)</f>
      </c>
      <c r="H27" s="12">
        <f>_xlfn.LAMBDA(m,n,k, 2*m*n*k*1000*1000/$N$2/1024/1024/1024/1024/$I$2)(B27*$C$3*$F$3, $Q$3*(128+64)/$F$3, $Q$10)</f>
      </c>
      <c r="I27" s="12">
        <f>_xlfn.LAMBDA(m,n,k,(m*k+2*m*n+n*k)*1000*1000/$N$3/1024/1024/1024/1024/$K$5)(B27*$C$3*$F$3, $Q$3*(128+64)/$F$3, $Q$10)</f>
      </c>
      <c r="J27" s="12">
        <f>_xlfn.LAMBDA(b, m,n,k, 2*b*m*n*k*1000*1000/$N$7/1024/1024/1024/1024/$I$2)($Q$3, B27*$C$3, 128, $Q$7)</f>
      </c>
      <c r="K27" s="12">
        <f>_xlfn.LAMBDA(b,m,n,k,b*(2*m*k+2*m*n+2*n*k)*1000*1000/$N$3/1024/1024/1024/1024/$K$5)($Q$3/$F$3, B27*$C$3*$F$3, 128, $Q$7)</f>
      </c>
      <c r="L27" s="12">
        <v>10</v>
      </c>
      <c r="M27" s="12">
        <f>_xlfn.LAMBDA(b, m,n,k, 2*b*m*n*k*1000*1000/$N$7/1024/1024/1024/1024/$I$2)($Q$3, B27*$C$3, 128, $Q$7)</f>
      </c>
      <c r="N27" s="12">
        <f>_xlfn.LAMBDA(b,m,n,k,b*(2*m*k+2*m*n+2*n*k)*1000*1000/$N$3/1024/1024/1024/1024/$K$5)($Q$3/$F$3, B27*$C$3*$F$3, 128, $Q$7)</f>
      </c>
      <c r="O27" s="12">
        <f>_xlfn.LAMBDA(m,n,k, 2*m*n*k*1000*1000/$N$2/1024/1024/1024/1024/$K$2)(B27*$C$3*$F$3, $Q$3*128/$F$3, $Q$2)</f>
      </c>
      <c r="P27" s="12">
        <f>_xlfn.LAMBDA(m,n,k,(m*k+2*m*n+n*k)*1000*1000/$N$3/1024/1024/1024/1024/$K$5)(B27*$C$3*$F$3, $Q$3*128/$F$3, $Q$2)</f>
      </c>
      <c r="Q27" s="12">
        <f>150 + $B27 *$C$3*$F$3 * 2.3</f>
      </c>
      <c r="R27" s="12">
        <f>_xlfn.LAMBDA(tp_size, hidden_size, batch_size, 2*batch_size*(tp_size-1)/tp_size*hidden_size*1000*1000/$N$4/1024/1024/1024/$I$6)($F$3, $Q$2,B27*$C$3*$F$3)</f>
      </c>
      <c r="S27" s="12">
        <f>_xlfn.LAMBDA(token_size_per_rank, to_nodes,hidden_size, sizeof_dtype, 50 + 4*token_size_per_rank * to_nodes * hidden_size*sizeof_dtype*1000*1000/$N$6/1024/1024/1024/$I$7)(B27*$C$5, MIN($F$2,$S$2), $Q$2, 1)</f>
      </c>
      <c r="T27" s="12">
        <f>_xlfn.LAMBDA(m,n,k, 2*m*n*k*1000*1000/$N$2/1024/1024/1024/1024/$I$3)(C27*$S$2/$F$5,$Q$8*2,$Q$2)</f>
      </c>
      <c r="U27" s="12">
        <f>_xlfn.LAMBDA(size_of_dtype, experts, ep_size, hidden_size, internal_dim, experts/ep_size*hidden_size*internal_dim*size_of_dtype/$N$3/$K$5/1024/1024/1024/1024*1000*1000)(0.5,$S$3,$F$5,$Q$2,$Q$8*2)</f>
      </c>
      <c r="V27" s="12">
        <f>_xlfn.LAMBDA(m,n,k, 2*m*n*k*1000*1000/$N$2/1024/1024/1024/1024/$I$3)(C27*$S$2/$F$5,$Q$2,$Q$8)</f>
      </c>
      <c r="W27" s="12">
        <f>_xlfn.LAMBDA(size_of_dtype, experts, ep_size, hidden_size, internal_dim, experts/ep_size*hidden_size*internal_dim*size_of_dtype/$N$3/$K$5/1024/1024/1024/1024*1000*1000)(0.5,$S$3,$F$5,$Q$8, $Q$2)</f>
      </c>
      <c r="X27" s="12">
        <f>S27</f>
      </c>
      <c r="Y27" s="12">
        <f>_xlfn.LAMBDA(tp_size, hidden_size, batch_size, batch_size*(tp_size-1)*hidden_size*1000*1000/$N$4/1024/1024/1024/$I$6)($F$3, $Q$2,B27*$C$3*$F$3)</f>
      </c>
      <c r="Z27" s="12">
        <f>_xlfn.LAMBDA(seq_len, q_len, bs, 2*seq_len*q_len*bs*$Q$3/$F$3*($Q$6 + $Q$7)*1000*1000/1024/1024/1024/1024/$N$5/$I$5)(A27,$C$3,B27)</f>
      </c>
      <c r="AA27" s="12">
        <f>_xlfn.LAMBDA(seq_len, q_len, bs, seq_len*bs*($Q$6 + $Q$7)*1000*1000/1024/1024/1024/1024/$N$3/$K$5)(A27,$C$3,B27)</f>
      </c>
      <c r="AB27" s="12">
        <f>MAX(F27,G27)+MAX(H27,I27)+MAX(J27,K27)+L27+MAX(Z27,AA27)+MAX(M27,N27)+MAX(O27,P27)+Q27+R27+S27+MAX(T27,U27)+MAX(V27,W27)+X27+Y27</f>
      </c>
      <c r="AC27" s="12">
        <f>(MAX(T27:U27)+MAX(V27:W27))/AB27</f>
      </c>
      <c r="AD27" s="12">
        <f>MAX(Z27:AA27)/AB27</f>
      </c>
      <c r="AE27" s="12">
        <f>AB27*$Q$9/1000</f>
      </c>
      <c r="AF27" s="13">
        <f>1000000*$N$8/24/60/60/D27</f>
      </c>
      <c r="AG27" s="13">
        <f>AF27*$C$6</f>
      </c>
      <c r="AX27" s="2"/>
      <c r="AY27" s="2"/>
      <c r="AZ27" s="2"/>
      <c r="BA27" s="2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>
      <c r="A28" s="4">
        <v>16384</v>
      </c>
      <c r="B28" s="4">
        <v>5</v>
      </c>
      <c r="C28" s="4">
        <f>B28*$F$2*$C$3</f>
      </c>
      <c r="D28" s="34">
        <f>B28*1000/E28</f>
      </c>
      <c r="E28" s="34">
        <f>(AE28+2)/$C$5</f>
      </c>
      <c r="F28" s="12">
        <v>10</v>
      </c>
      <c r="G28" s="12">
        <f>_xlfn.LAMBDA(m,n,k,(m*k+2*m*n+n*k)*1000*1000/$N$3/1024/1024/1024/1024/$K$5)(B28*$C$3,$Q$10,$Q$2)</f>
      </c>
      <c r="H28" s="12">
        <f>_xlfn.LAMBDA(m,n,k, 2*m*n*k*1000*1000/$N$2/1024/1024/1024/1024/$I$2)(B28*$C$3*$F$3, $Q$3*(128+64)/$F$3, $Q$10)</f>
      </c>
      <c r="I28" s="12">
        <f>_xlfn.LAMBDA(m,n,k,(m*k+2*m*n+n*k)*1000*1000/$N$3/1024/1024/1024/1024/$K$5)(B28*$C$3*$F$3, $Q$3*(128+64)/$F$3, $Q$10)</f>
      </c>
      <c r="J28" s="12">
        <f>_xlfn.LAMBDA(b, m,n,k, 2*b*m*n*k*1000*1000/$N$7/1024/1024/1024/1024/$I$2)($Q$3, B28*$C$3, 128, $Q$7)</f>
      </c>
      <c r="K28" s="12">
        <f>_xlfn.LAMBDA(b,m,n,k,b*(2*m*k+2*m*n+2*n*k)*1000*1000/$N$3/1024/1024/1024/1024/$K$5)($Q$3/$F$3, B28*$C$3*$F$3, 128, $Q$7)</f>
      </c>
      <c r="L28" s="12">
        <v>10</v>
      </c>
      <c r="M28" s="12">
        <f>_xlfn.LAMBDA(b, m,n,k, 2*b*m*n*k*1000*1000/$N$7/1024/1024/1024/1024/$I$2)($Q$3, B28*$C$3, 128, $Q$7)</f>
      </c>
      <c r="N28" s="12">
        <f>_xlfn.LAMBDA(b,m,n,k,b*(2*m*k+2*m*n+2*n*k)*1000*1000/$N$3/1024/1024/1024/1024/$K$5)($Q$3/$F$3, B28*$C$3*$F$3, 128, $Q$7)</f>
      </c>
      <c r="O28" s="12">
        <f>_xlfn.LAMBDA(m,n,k, 2*m*n*k*1000*1000/$N$2/1024/1024/1024/1024/$K$2)(B28*$C$3*$F$3, $Q$3*128/$F$3, $Q$2)</f>
      </c>
      <c r="P28" s="12">
        <f>_xlfn.LAMBDA(m,n,k,(m*k+2*m*n+n*k)*1000*1000/$N$3/1024/1024/1024/1024/$K$5)(B28*$C$3*$F$3, $Q$3*128/$F$3, $Q$2)</f>
      </c>
      <c r="Q28" s="12">
        <f>150 + $B28 *$C$3*$F$3 * 2.3</f>
      </c>
      <c r="R28" s="12">
        <f>_xlfn.LAMBDA(tp_size, hidden_size, batch_size, 2*batch_size*(tp_size-1)/tp_size*hidden_size*1000*1000/$N$4/1024/1024/1024/$I$6)($F$3, $Q$2,B28*$C$3*$F$3)</f>
      </c>
      <c r="S28" s="12">
        <f>_xlfn.LAMBDA(token_size_per_rank, to_nodes,hidden_size, sizeof_dtype, 50 + 4*token_size_per_rank * to_nodes * hidden_size*sizeof_dtype*1000*1000/$N$6/1024/1024/1024/$I$7)(B28*$C$5, MIN($F$2,$S$2), $Q$2, 1)</f>
      </c>
      <c r="T28" s="12">
        <f>_xlfn.LAMBDA(m,n,k, 2*m*n*k*1000*1000/$N$2/1024/1024/1024/1024/$I$3)(C28*$S$2/$F$5,$Q$8*2,$Q$2)</f>
      </c>
      <c r="U28" s="12">
        <f>_xlfn.LAMBDA(size_of_dtype, experts, ep_size, hidden_size, internal_dim, experts/ep_size*hidden_size*internal_dim*size_of_dtype/$N$3/$K$5/1024/1024/1024/1024*1000*1000)(0.5,$S$3,$F$5,$Q$2,$Q$8*2)</f>
      </c>
      <c r="V28" s="12">
        <f>_xlfn.LAMBDA(m,n,k, 2*m*n*k*1000*1000/$N$2/1024/1024/1024/1024/$I$3)(C28*$S$2/$F$5,$Q$2,$Q$8)</f>
      </c>
      <c r="W28" s="12">
        <f>_xlfn.LAMBDA(size_of_dtype, experts, ep_size, hidden_size, internal_dim, experts/ep_size*hidden_size*internal_dim*size_of_dtype/$N$3/$K$5/1024/1024/1024/1024*1000*1000)(0.5,$S$3,$F$5,$Q$8, $Q$2)</f>
      </c>
      <c r="X28" s="12">
        <f>S28</f>
      </c>
      <c r="Y28" s="12">
        <f>_xlfn.LAMBDA(tp_size, hidden_size, batch_size, batch_size*(tp_size-1)*hidden_size*1000*1000/$N$4/1024/1024/1024/$I$6)($F$3, $Q$2,B28*$C$3*$F$3)</f>
      </c>
      <c r="Z28" s="12">
        <f>_xlfn.LAMBDA(seq_len, q_len, bs, 2*seq_len*q_len*bs*$Q$3/$F$3*($Q$6 + $Q$7)*1000*1000/1024/1024/1024/1024/$N$5/$I$5)(A28,$C$3,B28)</f>
      </c>
      <c r="AA28" s="12">
        <f>_xlfn.LAMBDA(seq_len, q_len, bs, seq_len*bs*($Q$6 + $Q$7)*1000*1000/1024/1024/1024/1024/$N$3/$K$5)(A28,$C$3,B28)</f>
      </c>
      <c r="AB28" s="12">
        <f>MAX(F28,G28)+MAX(H28,I28)+MAX(J28,K28)+L28+MAX(Z28,AA28)+MAX(M28,N28)+MAX(O28,P28)+Q28+R28+S28+MAX(T28,U28)+MAX(V28,W28)+X28+Y28</f>
      </c>
      <c r="AC28" s="12">
        <f>(MAX(T28:U28)+MAX(V28:W28))/AB28</f>
      </c>
      <c r="AD28" s="12">
        <f>MAX(Z28:AA28)/AB28</f>
      </c>
      <c r="AE28" s="12">
        <f>AB28*$Q$9/1000</f>
      </c>
      <c r="AF28" s="13">
        <f>1000000*$N$8/24/60/60/D28</f>
      </c>
      <c r="AG28" s="13">
        <f>AF28*$C$6</f>
      </c>
      <c r="AX28" s="2"/>
      <c r="AY28" s="2"/>
      <c r="AZ28" s="2"/>
      <c r="BA28" s="2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</row>
    <row r="29">
      <c r="A29" s="4">
        <f>20*1024</f>
      </c>
      <c r="B29" s="4">
        <v>5</v>
      </c>
      <c r="C29" s="4">
        <f>B29*$F$2*$C$3</f>
      </c>
      <c r="D29" s="34">
        <f>B29*1000/E29</f>
      </c>
      <c r="E29" s="34">
        <f>(AE29+2)/$C$5</f>
      </c>
      <c r="F29" s="12">
        <v>10</v>
      </c>
      <c r="G29" s="12">
        <f>_xlfn.LAMBDA(m,n,k,(m*k+2*m*n+n*k)*1000*1000/$N$3/1024/1024/1024/1024/$K$5)(B29*$C$3,$Q$10,$Q$2)</f>
      </c>
      <c r="H29" s="12">
        <f>_xlfn.LAMBDA(m,n,k, 2*m*n*k*1000*1000/$N$2/1024/1024/1024/1024/$I$2)(B29*$C$3*$F$3, $Q$3*(128+64)/$F$3, $Q$10)</f>
      </c>
      <c r="I29" s="12">
        <f>_xlfn.LAMBDA(m,n,k,(m*k+2*m*n+n*k)*1000*1000/$N$3/1024/1024/1024/1024/$K$5)(B29*$C$3*$F$3, $Q$3*(128+64)/$F$3, $Q$10)</f>
      </c>
      <c r="J29" s="12">
        <f>_xlfn.LAMBDA(b, m,n,k, 2*b*m*n*k*1000*1000/$N$7/1024/1024/1024/1024/$I$2)($Q$3, B29*$C$3, 128, $Q$7)</f>
      </c>
      <c r="K29" s="12">
        <f>_xlfn.LAMBDA(b,m,n,k,b*(2*m*k+2*m*n+2*n*k)*1000*1000/$N$3/1024/1024/1024/1024/$K$5)($Q$3/$F$3, B29*$C$3*$F$3, 128, $Q$7)</f>
      </c>
      <c r="L29" s="12">
        <v>10</v>
      </c>
      <c r="M29" s="12">
        <f>_xlfn.LAMBDA(b, m,n,k, 2*b*m*n*k*1000*1000/$N$7/1024/1024/1024/1024/$I$2)($Q$3, B29*$C$3, 128, $Q$7)</f>
      </c>
      <c r="N29" s="12">
        <f>_xlfn.LAMBDA(b,m,n,k,b*(2*m*k+2*m*n+2*n*k)*1000*1000/$N$3/1024/1024/1024/1024/$K$5)($Q$3/$F$3, B29*$C$3*$F$3, 128, $Q$7)</f>
      </c>
      <c r="O29" s="12">
        <f>_xlfn.LAMBDA(m,n,k, 2*m*n*k*1000*1000/$N$2/1024/1024/1024/1024/$K$2)(B29*$C$3*$F$3, $Q$3*128/$F$3, $Q$2)</f>
      </c>
      <c r="P29" s="12">
        <f>_xlfn.LAMBDA(m,n,k,(m*k+2*m*n+n*k)*1000*1000/$N$3/1024/1024/1024/1024/$K$5)(B29*$C$3*$F$3, $Q$3*128/$F$3, $Q$2)</f>
      </c>
      <c r="Q29" s="12">
        <f>150 + $B29 *$C$3*$F$3 * 2.3</f>
      </c>
      <c r="R29" s="12">
        <f>_xlfn.LAMBDA(tp_size, hidden_size, batch_size, 2*batch_size*(tp_size-1)/tp_size*hidden_size*1000*1000/$N$4/1024/1024/1024/$I$6)($F$3, $Q$2,B29*$C$3*$F$3)</f>
      </c>
      <c r="S29" s="12">
        <f>_xlfn.LAMBDA(token_size_per_rank, to_nodes,hidden_size, sizeof_dtype, 50 + 4*token_size_per_rank * to_nodes * hidden_size*sizeof_dtype*1000*1000/$N$6/1024/1024/1024/$I$7)(B29*$C$5, MIN($F$2,$S$2), $Q$2, 1)</f>
      </c>
      <c r="T29" s="12">
        <f>_xlfn.LAMBDA(m,n,k, 2*m*n*k*1000*1000/$N$2/1024/1024/1024/1024/$I$3)(C29*$S$2/$F$5,$Q$8*2,$Q$2)</f>
      </c>
      <c r="U29" s="12">
        <f>_xlfn.LAMBDA(size_of_dtype, experts, ep_size, hidden_size, internal_dim, experts/ep_size*hidden_size*internal_dim*size_of_dtype/$N$3/$K$5/1024/1024/1024/1024*1000*1000)(0.5,$S$3,$F$5,$Q$2,$Q$8*2)</f>
      </c>
      <c r="V29" s="12">
        <f>_xlfn.LAMBDA(m,n,k, 2*m*n*k*1000*1000/$N$2/1024/1024/1024/1024/$I$3)(C29*$S$2/$F$5,$Q$2,$Q$8)</f>
      </c>
      <c r="W29" s="12">
        <f>_xlfn.LAMBDA(size_of_dtype, experts, ep_size, hidden_size, internal_dim, experts/ep_size*hidden_size*internal_dim*size_of_dtype/$N$3/$K$5/1024/1024/1024/1024*1000*1000)(0.5,$S$3,$F$5,$Q$8, $Q$2)</f>
      </c>
      <c r="X29" s="12">
        <f>S29</f>
      </c>
      <c r="Y29" s="12">
        <f>_xlfn.LAMBDA(tp_size, hidden_size, batch_size, batch_size*(tp_size-1)*hidden_size*1000*1000/$N$4/1024/1024/1024/$I$6)($F$3, $Q$2,B29*$C$3*$F$3)</f>
      </c>
      <c r="Z29" s="12">
        <f>_xlfn.LAMBDA(seq_len, q_len, bs, 2*seq_len*q_len*bs*$Q$3/$F$3*($Q$6 + $Q$7)*1000*1000/1024/1024/1024/1024/$N$5/$I$5)(A29,$C$3,B29)</f>
      </c>
      <c r="AA29" s="12">
        <f>_xlfn.LAMBDA(seq_len, q_len, bs, seq_len*bs*($Q$6 + $Q$7)*1000*1000/1024/1024/1024/1024/$N$3/$K$5)(A29,$C$3,B29)</f>
      </c>
      <c r="AB29" s="12">
        <f>MAX(F29,G29)+MAX(H29,I29)+MAX(J29,K29)+L29+MAX(Z29,AA29)+MAX(M29,N29)+MAX(O29,P29)+Q29+R29+S29+MAX(T29,U29)+MAX(V29,W29)+X29+Y29</f>
      </c>
      <c r="AC29" s="12">
        <f>(MAX(T29:U29)+MAX(V29:W29))/AB29</f>
      </c>
      <c r="AD29" s="12">
        <f>MAX(Z29:AA29)/AB29</f>
      </c>
      <c r="AE29" s="12">
        <f>AB29*$Q$9/1000</f>
      </c>
      <c r="AF29" s="13">
        <f>1000000*$N$8/24/60/60/D29</f>
      </c>
      <c r="AG29" s="13">
        <f>AF29*$C$6</f>
      </c>
      <c r="AX29" s="2"/>
      <c r="AY29" s="2"/>
      <c r="AZ29" s="2"/>
      <c r="BA29" s="2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</row>
    <row r="30">
      <c r="A30" s="4">
        <f>32*1024</f>
      </c>
      <c r="B30" s="4">
        <v>5</v>
      </c>
      <c r="C30" s="4">
        <f>B30*$F$2*$C$3</f>
      </c>
      <c r="D30" s="34">
        <f>B30*1000/E30</f>
      </c>
      <c r="E30" s="34">
        <f>(AE30+2)/$C$5</f>
      </c>
      <c r="F30" s="12">
        <v>10</v>
      </c>
      <c r="G30" s="12">
        <f>_xlfn.LAMBDA(m,n,k,(m*k+2*m*n+n*k)*1000*1000/$N$3/1024/1024/1024/1024/$K$5)(B30*$C$3,$Q$10,$Q$2)</f>
      </c>
      <c r="H30" s="12">
        <f>_xlfn.LAMBDA(m,n,k, 2*m*n*k*1000*1000/$N$2/1024/1024/1024/1024/$I$2)(B30*$C$3*$F$3, $Q$3*(128+64)/$F$3, $Q$10)</f>
      </c>
      <c r="I30" s="12">
        <f>_xlfn.LAMBDA(m,n,k,(m*k+2*m*n+n*k)*1000*1000/$N$3/1024/1024/1024/1024/$K$5)(B30*$C$3*$F$3, $Q$3*(128+64)/$F$3, $Q$10)</f>
      </c>
      <c r="J30" s="12">
        <f>_xlfn.LAMBDA(b, m,n,k, 2*b*m*n*k*1000*1000/$N$7/1024/1024/1024/1024/$I$2)($Q$3, B30*$C$3, 128, $Q$7)</f>
      </c>
      <c r="K30" s="12">
        <f>_xlfn.LAMBDA(b,m,n,k,b*(2*m*k+2*m*n+2*n*k)*1000*1000/$N$3/1024/1024/1024/1024/$K$5)($Q$3/$F$3, B30*$C$3*$F$3, 128, $Q$7)</f>
      </c>
      <c r="L30" s="12">
        <v>10</v>
      </c>
      <c r="M30" s="12">
        <f>_xlfn.LAMBDA(b, m,n,k, 2*b*m*n*k*1000*1000/$N$7/1024/1024/1024/1024/$I$2)($Q$3, B30*$C$3, 128, $Q$7)</f>
      </c>
      <c r="N30" s="12">
        <f>_xlfn.LAMBDA(b,m,n,k,b*(2*m*k+2*m*n+2*n*k)*1000*1000/$N$3/1024/1024/1024/1024/$K$5)($Q$3/$F$3, B30*$C$3*$F$3, 128, $Q$7)</f>
      </c>
      <c r="O30" s="12">
        <f>_xlfn.LAMBDA(m,n,k, 2*m*n*k*1000*1000/$N$2/1024/1024/1024/1024/$K$2)(B30*$C$3*$F$3, $Q$3*128/$F$3, $Q$2)</f>
      </c>
      <c r="P30" s="12">
        <f>_xlfn.LAMBDA(m,n,k,(m*k+2*m*n+n*k)*1000*1000/$N$3/1024/1024/1024/1024/$K$5)(B30*$C$3*$F$3, $Q$3*128/$F$3, $Q$2)</f>
      </c>
      <c r="Q30" s="12">
        <f>150 + $B30 *$C$3*$F$3 * 2.3</f>
      </c>
      <c r="R30" s="12">
        <f>_xlfn.LAMBDA(tp_size, hidden_size, batch_size, 2*batch_size*(tp_size-1)/tp_size*hidden_size*1000*1000/$N$4/1024/1024/1024/$I$6)($F$3, $Q$2,B30*$C$3*$F$3)</f>
      </c>
      <c r="S30" s="12">
        <f>_xlfn.LAMBDA(token_size_per_rank, to_nodes,hidden_size, sizeof_dtype, 50 + 4*token_size_per_rank * to_nodes * hidden_size*sizeof_dtype*1000*1000/$N$6/1024/1024/1024/$I$7)(B30*$C$5, MIN($F$2,$S$2), $Q$2, 1)</f>
      </c>
      <c r="T30" s="12">
        <f>_xlfn.LAMBDA(m,n,k, 2*m*n*k*1000*1000/$N$2/1024/1024/1024/1024/$I$3)(C30*$S$2/$F$5,$Q$8*2,$Q$2)</f>
      </c>
      <c r="U30" s="12">
        <f>_xlfn.LAMBDA(size_of_dtype, experts, ep_size, hidden_size, internal_dim, experts/ep_size*hidden_size*internal_dim*size_of_dtype/$N$3/$K$5/1024/1024/1024/1024*1000*1000)(0.5,$S$3,$F$5,$Q$2,$Q$8*2)</f>
      </c>
      <c r="V30" s="12">
        <f>_xlfn.LAMBDA(m,n,k, 2*m*n*k*1000*1000/$N$2/1024/1024/1024/1024/$I$3)(C30*$S$2/$F$5,$Q$2,$Q$8)</f>
      </c>
      <c r="W30" s="12">
        <f>_xlfn.LAMBDA(size_of_dtype, experts, ep_size, hidden_size, internal_dim, experts/ep_size*hidden_size*internal_dim*size_of_dtype/$N$3/$K$5/1024/1024/1024/1024*1000*1000)(0.5,$S$3,$F$5,$Q$8, $Q$2)</f>
      </c>
      <c r="X30" s="12">
        <f>S30</f>
      </c>
      <c r="Y30" s="12">
        <f>_xlfn.LAMBDA(tp_size, hidden_size, batch_size, batch_size*(tp_size-1)*hidden_size*1000*1000/$N$4/1024/1024/1024/$I$6)($F$3, $Q$2,B30*$C$3*$F$3)</f>
      </c>
      <c r="Z30" s="12">
        <f>_xlfn.LAMBDA(seq_len, q_len, bs, 2*seq_len*q_len*bs*$Q$3/$F$3*($Q$6 + $Q$7)*1000*1000/1024/1024/1024/1024/$N$5/$I$5)(A30,$C$3,B30)</f>
      </c>
      <c r="AA30" s="12">
        <f>_xlfn.LAMBDA(seq_len, q_len, bs, seq_len*bs*($Q$6 + $Q$7)*1000*1000/1024/1024/1024/1024/$N$3/$K$5)(A30,$C$3,B30)</f>
      </c>
      <c r="AB30" s="12">
        <f>MAX(F30,G30)+MAX(H30,I30)+MAX(J30,K30)+L30+MAX(Z30,AA30)+MAX(M30,N30)+MAX(O30,P30)+Q30+R30+S30+MAX(T30,U30)+MAX(V30,W30)+X30+Y30</f>
      </c>
      <c r="AC30" s="12">
        <f>(MAX(T30:U30)+MAX(V30:W30))/AB30</f>
      </c>
      <c r="AD30" s="12">
        <f>MAX(Z30:AA30)/AB30</f>
      </c>
      <c r="AE30" s="12">
        <f>AB30*$Q$9/1000</f>
      </c>
      <c r="AF30" s="13">
        <f>1000000*$N$8/24/60/60/D30</f>
      </c>
      <c r="AG30" s="13">
        <f>AF30*$C$6</f>
      </c>
      <c r="AX30" s="2"/>
      <c r="AY30" s="2"/>
      <c r="AZ30" s="2"/>
      <c r="BA30" s="2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</row>
    <row r="31">
      <c r="A31" s="4">
        <f>50*1024</f>
      </c>
      <c r="B31" s="4">
        <v>5</v>
      </c>
      <c r="C31" s="4">
        <f>B31*$F$2*$C$3</f>
      </c>
      <c r="D31" s="34">
        <f>B31*1000/E31</f>
      </c>
      <c r="E31" s="34">
        <f>(AE31+2)/$C$5</f>
      </c>
      <c r="F31" s="12">
        <v>10</v>
      </c>
      <c r="G31" s="12">
        <f>_xlfn.LAMBDA(m,n,k,(m*k+2*m*n+n*k)*1000*1000/$N$3/1024/1024/1024/1024/$K$5)(B31*$C$3,$Q$10,$Q$2)</f>
      </c>
      <c r="H31" s="12">
        <f>_xlfn.LAMBDA(m,n,k, 2*m*n*k*1000*1000/$N$2/1024/1024/1024/1024/$I$2)(B31*$C$3*$F$3, $Q$3*(128+64)/$F$3, $Q$10)</f>
      </c>
      <c r="I31" s="12">
        <f>_xlfn.LAMBDA(m,n,k,(m*k+2*m*n+n*k)*1000*1000/$N$3/1024/1024/1024/1024/$K$5)(B31*$C$3*$F$3, $Q$3*(128+64)/$F$3, $Q$10)</f>
      </c>
      <c r="J31" s="12">
        <f>_xlfn.LAMBDA(b, m,n,k, 2*b*m*n*k*1000*1000/$N$7/1024/1024/1024/1024/$I$2)($Q$3, B31*$C$3, 128, $Q$7)</f>
      </c>
      <c r="K31" s="12">
        <f>_xlfn.LAMBDA(b,m,n,k,b*(2*m*k+2*m*n+2*n*k)*1000*1000/$N$3/1024/1024/1024/1024/$K$5)($Q$3/$F$3, B31*$C$3*$F$3, 128, $Q$7)</f>
      </c>
      <c r="L31" s="12">
        <v>10</v>
      </c>
      <c r="M31" s="12">
        <f>_xlfn.LAMBDA(b, m,n,k, 2*b*m*n*k*1000*1000/$N$7/1024/1024/1024/1024/$I$2)($Q$3, B31*$C$3, 128, $Q$7)</f>
      </c>
      <c r="N31" s="12">
        <f>_xlfn.LAMBDA(b,m,n,k,b*(2*m*k+2*m*n+2*n*k)*1000*1000/$N$3/1024/1024/1024/1024/$K$5)($Q$3/$F$3, B31*$C$3*$F$3, 128, $Q$7)</f>
      </c>
      <c r="O31" s="12">
        <f>_xlfn.LAMBDA(m,n,k, 2*m*n*k*1000*1000/$N$2/1024/1024/1024/1024/$K$2)(B31*$C$3*$F$3, $Q$3*128/$F$3, $Q$2)</f>
      </c>
      <c r="P31" s="12">
        <f>_xlfn.LAMBDA(m,n,k,(m*k+2*m*n+n*k)*1000*1000/$N$3/1024/1024/1024/1024/$K$5)(B31*$C$3*$F$3, $Q$3*128/$F$3, $Q$2)</f>
      </c>
      <c r="Q31" s="12">
        <f>150 + $B31 *$C$3*$F$3 * 2.3</f>
      </c>
      <c r="R31" s="12">
        <f>_xlfn.LAMBDA(tp_size, hidden_size, batch_size, 2*batch_size*(tp_size-1)/tp_size*hidden_size*1000*1000/$N$4/1024/1024/1024/$I$6)($F$3, $Q$2,B31*$C$3*$F$3)</f>
      </c>
      <c r="S31" s="12">
        <f>_xlfn.LAMBDA(token_size_per_rank, to_nodes,hidden_size, sizeof_dtype, 50 + 4*token_size_per_rank * to_nodes * hidden_size*sizeof_dtype*1000*1000/$N$6/1024/1024/1024/$I$7)(B31*$C$5, MIN($F$2,$S$2), $Q$2, 1)</f>
      </c>
      <c r="T31" s="12">
        <f>_xlfn.LAMBDA(m,n,k, 2*m*n*k*1000*1000/$N$2/1024/1024/1024/1024/$I$3)(C31*$S$2/$F$5,$Q$8*2,$Q$2)</f>
      </c>
      <c r="U31" s="12">
        <f>_xlfn.LAMBDA(size_of_dtype, experts, ep_size, hidden_size, internal_dim, experts/ep_size*hidden_size*internal_dim*size_of_dtype/$N$3/$K$5/1024/1024/1024/1024*1000*1000)(0.5,$S$3,$F$5,$Q$2,$Q$8*2)</f>
      </c>
      <c r="V31" s="12">
        <f>_xlfn.LAMBDA(m,n,k, 2*m*n*k*1000*1000/$N$2/1024/1024/1024/1024/$I$3)(C31*$S$2/$F$5,$Q$2,$Q$8)</f>
      </c>
      <c r="W31" s="12">
        <f>_xlfn.LAMBDA(size_of_dtype, experts, ep_size, hidden_size, internal_dim, experts/ep_size*hidden_size*internal_dim*size_of_dtype/$N$3/$K$5/1024/1024/1024/1024*1000*1000)(0.5,$S$3,$F$5,$Q$8, $Q$2)</f>
      </c>
      <c r="X31" s="12">
        <f>S31</f>
      </c>
      <c r="Y31" s="12">
        <f>_xlfn.LAMBDA(tp_size, hidden_size, batch_size, batch_size*(tp_size-1)*hidden_size*1000*1000/$N$4/1024/1024/1024/$I$6)($F$3, $Q$2,B31*$C$3*$F$3)</f>
      </c>
      <c r="Z31" s="12">
        <f>_xlfn.LAMBDA(seq_len, q_len, bs, 2*seq_len*q_len*bs*$Q$3/$F$3*($Q$6 + $Q$7)*1000*1000/1024/1024/1024/1024/$N$5/$I$5)(A31,$C$3,B31)</f>
      </c>
      <c r="AA31" s="12">
        <f>_xlfn.LAMBDA(seq_len, q_len, bs, seq_len*bs*($Q$6 + $Q$7)*1000*1000/1024/1024/1024/1024/$N$3/$K$5)(A31,$C$3,B31)</f>
      </c>
      <c r="AB31" s="12">
        <f>MAX(F31,G31)+MAX(H31,I31)+MAX(J31,K31)+L31+MAX(Z31,AA31)+MAX(M31,N31)+MAX(O31,P31)+Q31+R31+S31+MAX(T31,U31)+MAX(V31,W31)+X31+Y31</f>
      </c>
      <c r="AC31" s="12">
        <f>(MAX(T31:U31)+MAX(V31:W31))/AB31</f>
      </c>
      <c r="AD31" s="12">
        <f>MAX(Z31:AA31)/AB31</f>
      </c>
      <c r="AE31" s="12">
        <f>AB31*$Q$9/1000</f>
      </c>
      <c r="AF31" s="13">
        <f>1000000*$N$8/24/60/60/D31</f>
      </c>
      <c r="AG31" s="13">
        <f>AF31*$C$6</f>
      </c>
      <c r="AX31" s="2"/>
      <c r="AY31" s="2"/>
      <c r="AZ31" s="2"/>
      <c r="BA31" s="2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</row>
    <row r="32">
      <c r="A32" s="4">
        <f>64*1024</f>
      </c>
      <c r="B32" s="4">
        <v>5</v>
      </c>
      <c r="C32" s="4">
        <f>B32*$F$2*$C$3</f>
      </c>
      <c r="D32" s="34">
        <f>B32*1000/E32</f>
      </c>
      <c r="E32" s="34">
        <f>(AE32+2)/$C$5</f>
      </c>
      <c r="F32" s="12">
        <v>10</v>
      </c>
      <c r="G32" s="12">
        <f>_xlfn.LAMBDA(m,n,k,(m*k+2*m*n+n*k)*1000*1000/$N$3/1024/1024/1024/1024/$K$5)(B32*$C$3,$Q$10,$Q$2)</f>
      </c>
      <c r="H32" s="12">
        <f>_xlfn.LAMBDA(m,n,k, 2*m*n*k*1000*1000/$N$2/1024/1024/1024/1024/$I$2)(B32*$C$3*$F$3, $Q$3*(128+64)/$F$3, $Q$10)</f>
      </c>
      <c r="I32" s="12">
        <f>_xlfn.LAMBDA(m,n,k,(m*k+2*m*n+n*k)*1000*1000/$N$3/1024/1024/1024/1024/$K$5)(B32*$C$3*$F$3, $Q$3*(128+64)/$F$3, $Q$10)</f>
      </c>
      <c r="J32" s="12">
        <f>_xlfn.LAMBDA(b, m,n,k, 2*b*m*n*k*1000*1000/$N$7/1024/1024/1024/1024/$I$2)($Q$3, B32*$C$3, 128, $Q$7)</f>
      </c>
      <c r="K32" s="12">
        <f>_xlfn.LAMBDA(b,m,n,k,b*(2*m*k+2*m*n+2*n*k)*1000*1000/$N$3/1024/1024/1024/1024/$K$5)($Q$3/$F$3, B32*$C$3*$F$3, 128, $Q$7)</f>
      </c>
      <c r="L32" s="12">
        <v>10</v>
      </c>
      <c r="M32" s="12">
        <f>_xlfn.LAMBDA(b, m,n,k, 2*b*m*n*k*1000*1000/$N$7/1024/1024/1024/1024/$I$2)($Q$3, B32*$C$3, 128, $Q$7)</f>
      </c>
      <c r="N32" s="12">
        <f>_xlfn.LAMBDA(b,m,n,k,b*(2*m*k+2*m*n+2*n*k)*1000*1000/$N$3/1024/1024/1024/1024/$K$5)($Q$3/$F$3, B32*$C$3*$F$3, 128, $Q$7)</f>
      </c>
      <c r="O32" s="12">
        <f>_xlfn.LAMBDA(m,n,k, 2*m*n*k*1000*1000/$N$2/1024/1024/1024/1024/$K$2)(B32*$C$3*$F$3, $Q$3*128/$F$3, $Q$2)</f>
      </c>
      <c r="P32" s="12">
        <f>_xlfn.LAMBDA(m,n,k,(m*k+2*m*n+n*k)*1000*1000/$N$3/1024/1024/1024/1024/$K$5)(B32*$C$3*$F$3, $Q$3*128/$F$3, $Q$2)</f>
      </c>
      <c r="Q32" s="12">
        <f>150 + $B32 *$C$3*$F$3 * 2.3</f>
      </c>
      <c r="R32" s="12">
        <f>_xlfn.LAMBDA(tp_size, hidden_size, batch_size, 2*batch_size*(tp_size-1)/tp_size*hidden_size*1000*1000/$N$4/1024/1024/1024/$I$6)($F$3, $Q$2,B32*$C$3*$F$3)</f>
      </c>
      <c r="S32" s="12">
        <f>_xlfn.LAMBDA(token_size_per_rank, to_nodes,hidden_size, sizeof_dtype, 50 + 4*token_size_per_rank * to_nodes * hidden_size*sizeof_dtype*1000*1000/$N$6/1024/1024/1024/$I$7)(B32*$C$5, MIN($F$2,$S$2), $Q$2, 1)</f>
      </c>
      <c r="T32" s="12">
        <f>_xlfn.LAMBDA(m,n,k, 2*m*n*k*1000*1000/$N$2/1024/1024/1024/1024/$I$3)(C32*$S$2/$F$5,$Q$8*2,$Q$2)</f>
      </c>
      <c r="U32" s="12">
        <f>_xlfn.LAMBDA(size_of_dtype, experts, ep_size, hidden_size, internal_dim, experts/ep_size*hidden_size*internal_dim*size_of_dtype/$N$3/$K$5/1024/1024/1024/1024*1000*1000)(0.5,$S$3,$F$5,$Q$2,$Q$8*2)</f>
      </c>
      <c r="V32" s="12">
        <f>_xlfn.LAMBDA(m,n,k, 2*m*n*k*1000*1000/$N$2/1024/1024/1024/1024/$I$3)(C32*$S$2/$F$5,$Q$2,$Q$8)</f>
      </c>
      <c r="W32" s="12">
        <f>_xlfn.LAMBDA(size_of_dtype, experts, ep_size, hidden_size, internal_dim, experts/ep_size*hidden_size*internal_dim*size_of_dtype/$N$3/$K$5/1024/1024/1024/1024*1000*1000)(0.5,$S$3,$F$5,$Q$8, $Q$2)</f>
      </c>
      <c r="X32" s="12">
        <f>S32</f>
      </c>
      <c r="Y32" s="12">
        <f>_xlfn.LAMBDA(tp_size, hidden_size, batch_size, batch_size*(tp_size-1)*hidden_size*1000*1000/$N$4/1024/1024/1024/$I$6)($F$3, $Q$2,B32*$C$3*$F$3)</f>
      </c>
      <c r="Z32" s="12">
        <f>_xlfn.LAMBDA(seq_len, q_len, bs, 2*seq_len*q_len*bs*$Q$3/$F$3*($Q$6 + $Q$7)*1000*1000/1024/1024/1024/1024/$N$5/$I$5)(A32,$C$3,B32)</f>
      </c>
      <c r="AA32" s="12">
        <f>_xlfn.LAMBDA(seq_len, q_len, bs, seq_len*bs*($Q$6 + $Q$7)*1000*1000/1024/1024/1024/1024/$N$3/$K$5)(A32,$C$3,B32)</f>
      </c>
      <c r="AB32" s="12">
        <f>MAX(F32,G32)+MAX(H32,I32)+MAX(J32,K32)+L32+MAX(Z32,AA32)+MAX(M32,N32)+MAX(O32,P32)+Q32+R32+S32+MAX(T32,U32)+MAX(V32,W32)+X32+Y32</f>
      </c>
      <c r="AC32" s="12">
        <f>(MAX(T32:U32)+MAX(V32:W32))/AB32</f>
      </c>
      <c r="AD32" s="12">
        <f>MAX(Z32:AA32)/AB32</f>
      </c>
      <c r="AE32" s="12">
        <f>AB32*$Q$9/1000</f>
      </c>
      <c r="AF32" s="13">
        <f>1000000*$N$8/24/60/60/D32</f>
      </c>
      <c r="AG32" s="13">
        <f>AF32*$C$6</f>
      </c>
      <c r="AX32" s="2"/>
      <c r="AY32" s="2"/>
      <c r="AZ32" s="2"/>
      <c r="BA32" s="2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</row>
    <row r="33">
      <c r="A33" s="4">
        <f>96*1024</f>
      </c>
      <c r="B33" s="4">
        <v>5</v>
      </c>
      <c r="C33" s="4">
        <f>B33*$F$2*$C$3</f>
      </c>
      <c r="D33" s="34">
        <f>B33*1000/E33</f>
      </c>
      <c r="E33" s="34">
        <f>(AE33+2)/$C$5</f>
      </c>
      <c r="F33" s="12">
        <v>10</v>
      </c>
      <c r="G33" s="12">
        <f>_xlfn.LAMBDA(m,n,k,(m*k+2*m*n+n*k)*1000*1000/$N$3/1024/1024/1024/1024/$K$5)(B33*$C$3,$Q$10,$Q$2)</f>
      </c>
      <c r="H33" s="12">
        <f>_xlfn.LAMBDA(m,n,k, 2*m*n*k*1000*1000/$N$2/1024/1024/1024/1024/$I$2)(B33*$C$3*$F$3, $Q$3*(128+64)/$F$3, $Q$10)</f>
      </c>
      <c r="I33" s="12">
        <f>_xlfn.LAMBDA(m,n,k,(m*k+2*m*n+n*k)*1000*1000/$N$3/1024/1024/1024/1024/$K$5)(B33*$C$3*$F$3, $Q$3*(128+64)/$F$3, $Q$10)</f>
      </c>
      <c r="J33" s="12">
        <f>_xlfn.LAMBDA(b, m,n,k, 2*b*m*n*k*1000*1000/$N$7/1024/1024/1024/1024/$I$2)($Q$3, B33*$C$3, 128, $Q$7)</f>
      </c>
      <c r="K33" s="12">
        <f>_xlfn.LAMBDA(b,m,n,k,b*(2*m*k+2*m*n+2*n*k)*1000*1000/$N$3/1024/1024/1024/1024/$K$5)($Q$3/$F$3, B33*$C$3*$F$3, 128, $Q$7)</f>
      </c>
      <c r="L33" s="12">
        <v>10</v>
      </c>
      <c r="M33" s="12">
        <f>_xlfn.LAMBDA(b, m,n,k, 2*b*m*n*k*1000*1000/$N$7/1024/1024/1024/1024/$I$2)($Q$3, B33*$C$3, 128, $Q$7)</f>
      </c>
      <c r="N33" s="12">
        <f>_xlfn.LAMBDA(b,m,n,k,b*(2*m*k+2*m*n+2*n*k)*1000*1000/$N$3/1024/1024/1024/1024/$K$5)($Q$3/$F$3, B33*$C$3*$F$3, 128, $Q$7)</f>
      </c>
      <c r="O33" s="12">
        <f>_xlfn.LAMBDA(m,n,k, 2*m*n*k*1000*1000/$N$2/1024/1024/1024/1024/$K$2)(B33*$C$3*$F$3, $Q$3*128/$F$3, $Q$2)</f>
      </c>
      <c r="P33" s="12">
        <f>_xlfn.LAMBDA(m,n,k,(m*k+2*m*n+n*k)*1000*1000/$N$3/1024/1024/1024/1024/$K$5)(B33*$C$3*$F$3, $Q$3*128/$F$3, $Q$2)</f>
      </c>
      <c r="Q33" s="12">
        <f>150 + $B33 *$C$3*$F$3 * 2.3</f>
      </c>
      <c r="R33" s="12">
        <f>_xlfn.LAMBDA(tp_size, hidden_size, batch_size, 2*batch_size*(tp_size-1)/tp_size*hidden_size*1000*1000/$N$4/1024/1024/1024/$I$6)($F$3, $Q$2,B33*$C$3*$F$3)</f>
      </c>
      <c r="S33" s="12">
        <f>_xlfn.LAMBDA(token_size_per_rank, to_nodes,hidden_size, sizeof_dtype, 50 + 4*token_size_per_rank * to_nodes * hidden_size*sizeof_dtype*1000*1000/$N$6/1024/1024/1024/$I$7)(B33*$C$5, MIN($F$2,$S$2), $Q$2, 1)</f>
      </c>
      <c r="T33" s="12">
        <f>_xlfn.LAMBDA(m,n,k, 2*m*n*k*1000*1000/$N$2/1024/1024/1024/1024/$I$3)(C33*$S$2/$F$5,$Q$8*2,$Q$2)</f>
      </c>
      <c r="U33" s="12">
        <f>_xlfn.LAMBDA(size_of_dtype, experts, ep_size, hidden_size, internal_dim, experts/ep_size*hidden_size*internal_dim*size_of_dtype/$N$3/$K$5/1024/1024/1024/1024*1000*1000)(0.5,$S$3,$F$5,$Q$2,$Q$8*2)</f>
      </c>
      <c r="V33" s="12">
        <f>_xlfn.LAMBDA(m,n,k, 2*m*n*k*1000*1000/$N$2/1024/1024/1024/1024/$I$3)(C33*$S$2/$F$5,$Q$2,$Q$8)</f>
      </c>
      <c r="W33" s="12">
        <f>_xlfn.LAMBDA(size_of_dtype, experts, ep_size, hidden_size, internal_dim, experts/ep_size*hidden_size*internal_dim*size_of_dtype/$N$3/$K$5/1024/1024/1024/1024*1000*1000)(0.5,$S$3,$F$5,$Q$8, $Q$2)</f>
      </c>
      <c r="X33" s="12">
        <f>S33</f>
      </c>
      <c r="Y33" s="12">
        <f>_xlfn.LAMBDA(tp_size, hidden_size, batch_size, batch_size*(tp_size-1)*hidden_size*1000*1000/$N$4/1024/1024/1024/$I$6)($F$3, $Q$2,B33*$C$3*$F$3)</f>
      </c>
      <c r="Z33" s="12">
        <f>_xlfn.LAMBDA(seq_len, q_len, bs, 2*seq_len*q_len*bs*$Q$3/$F$3*($Q$6 + $Q$7)*1000*1000/1024/1024/1024/1024/$N$5/$I$5)(A33,$C$3,B33)</f>
      </c>
      <c r="AA33" s="12">
        <f>_xlfn.LAMBDA(seq_len, q_len, bs, seq_len*bs*($Q$6 + $Q$7)*1000*1000/1024/1024/1024/1024/$N$3/$K$5)(A33,$C$3,B33)</f>
      </c>
      <c r="AB33" s="12">
        <f>MAX(F33,G33)+MAX(H33,I33)+MAX(J33,K33)+L33+MAX(Z33,AA33)+MAX(M33,N33)+MAX(O33,P33)+Q33+R33+S33+MAX(T33,U33)+MAX(V33,W33)+X33+Y33</f>
      </c>
      <c r="AC33" s="12">
        <f>(MAX(T33:U33)+MAX(V33:W33))/AB33</f>
      </c>
      <c r="AD33" s="12">
        <f>MAX(Z33:AA33)/AB33</f>
      </c>
      <c r="AE33" s="12">
        <f>AB33*$Q$9/1000</f>
      </c>
      <c r="AF33" s="13">
        <f>1000000*$N$8/24/60/60/D33</f>
      </c>
      <c r="AG33" s="13">
        <f>AF33*$C$6</f>
      </c>
      <c r="AX33" s="2"/>
      <c r="AY33" s="2"/>
      <c r="AZ33" s="2"/>
      <c r="BA33" s="2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</row>
    <row r="34">
      <c r="A34" s="4">
        <f>128*1024</f>
      </c>
      <c r="B34" s="4">
        <v>5</v>
      </c>
      <c r="C34" s="4">
        <f>B34*$F$2*$C$3</f>
      </c>
      <c r="D34" s="34">
        <f>B34*1000/E34</f>
      </c>
      <c r="E34" s="34">
        <f>(AE34+2)/$C$5</f>
      </c>
      <c r="F34" s="12">
        <v>10</v>
      </c>
      <c r="G34" s="12">
        <f>_xlfn.LAMBDA(m,n,k,(m*k+2*m*n+n*k)*1000*1000/$N$3/1024/1024/1024/1024/$K$5)(B34*$C$3,$Q$10,$Q$2)</f>
      </c>
      <c r="H34" s="12">
        <f>_xlfn.LAMBDA(m,n,k, 2*m*n*k*1000*1000/$N$2/1024/1024/1024/1024/$I$2)(B34*$C$3*$F$3, $Q$3*(128+64)/$F$3, $Q$10)</f>
      </c>
      <c r="I34" s="12">
        <f>_xlfn.LAMBDA(m,n,k,(m*k+2*m*n+n*k)*1000*1000/$N$3/1024/1024/1024/1024/$K$5)(B34*$C$3*$F$3, $Q$3*(128+64)/$F$3, $Q$10)</f>
      </c>
      <c r="J34" s="12">
        <f>_xlfn.LAMBDA(b, m,n,k, 2*b*m*n*k*1000*1000/$N$7/1024/1024/1024/1024/$I$2)($Q$3, B34*$C$3, 128, $Q$7)</f>
      </c>
      <c r="K34" s="12">
        <f>_xlfn.LAMBDA(b,m,n,k,b*(2*m*k+2*m*n+2*n*k)*1000*1000/$N$3/1024/1024/1024/1024/$K$5)($Q$3/$F$3, B34*$C$3*$F$3, 128, $Q$7)</f>
      </c>
      <c r="L34" s="12">
        <v>10</v>
      </c>
      <c r="M34" s="12">
        <f>_xlfn.LAMBDA(b, m,n,k, 2*b*m*n*k*1000*1000/$N$7/1024/1024/1024/1024/$I$2)($Q$3, B34*$C$3, 128, $Q$7)</f>
      </c>
      <c r="N34" s="12">
        <f>_xlfn.LAMBDA(b,m,n,k,b*(2*m*k+2*m*n+2*n*k)*1000*1000/$N$3/1024/1024/1024/1024/$K$5)($Q$3/$F$3, B34*$C$3*$F$3, 128, $Q$7)</f>
      </c>
      <c r="O34" s="12">
        <f>_xlfn.LAMBDA(m,n,k, 2*m*n*k*1000*1000/$N$2/1024/1024/1024/1024/$K$2)(B34*$C$3*$F$3, $Q$3*128/$F$3, $Q$2)</f>
      </c>
      <c r="P34" s="12">
        <f>_xlfn.LAMBDA(m,n,k,(m*k+2*m*n+n*k)*1000*1000/$N$3/1024/1024/1024/1024/$K$5)(B34*$C$3*$F$3, $Q$3*128/$F$3, $Q$2)</f>
      </c>
      <c r="Q34" s="12">
        <f>150 + $B34 *$C$3*$F$3 * 2.3</f>
      </c>
      <c r="R34" s="12">
        <f>_xlfn.LAMBDA(tp_size, hidden_size, batch_size, 2*batch_size*(tp_size-1)/tp_size*hidden_size*1000*1000/$N$4/1024/1024/1024/$I$6)($F$3, $Q$2,B34*$C$3*$F$3)</f>
      </c>
      <c r="S34" s="12">
        <f>_xlfn.LAMBDA(token_size_per_rank, to_nodes,hidden_size, sizeof_dtype, 50 + 4*token_size_per_rank * to_nodes * hidden_size*sizeof_dtype*1000*1000/$N$6/1024/1024/1024/$I$7)(B34*$C$5, MIN($F$2,$S$2), $Q$2, 1)</f>
      </c>
      <c r="T34" s="12">
        <f>_xlfn.LAMBDA(m,n,k, 2*m*n*k*1000*1000/$N$2/1024/1024/1024/1024/$I$3)(C34*$S$2/$F$5,$Q$8*2,$Q$2)</f>
      </c>
      <c r="U34" s="12">
        <f>_xlfn.LAMBDA(size_of_dtype, experts, ep_size, hidden_size, internal_dim, experts/ep_size*hidden_size*internal_dim*size_of_dtype/$N$3/$K$5/1024/1024/1024/1024*1000*1000)(0.5,$S$3,$F$5,$Q$2,$Q$8*2)</f>
      </c>
      <c r="V34" s="12">
        <f>_xlfn.LAMBDA(m,n,k, 2*m*n*k*1000*1000/$N$2/1024/1024/1024/1024/$I$3)(C34*$S$2/$F$5,$Q$2,$Q$8)</f>
      </c>
      <c r="W34" s="12">
        <f>_xlfn.LAMBDA(size_of_dtype, experts, ep_size, hidden_size, internal_dim, experts/ep_size*hidden_size*internal_dim*size_of_dtype/$N$3/$K$5/1024/1024/1024/1024*1000*1000)(0.5,$S$3,$F$5,$Q$8, $Q$2)</f>
      </c>
      <c r="X34" s="12">
        <f>S34</f>
      </c>
      <c r="Y34" s="12">
        <f>_xlfn.LAMBDA(tp_size, hidden_size, batch_size, batch_size*(tp_size-1)*hidden_size*1000*1000/$N$4/1024/1024/1024/$I$6)($F$3, $Q$2,B34*$C$3*$F$3)</f>
      </c>
      <c r="Z34" s="12">
        <f>_xlfn.LAMBDA(seq_len, q_len, bs, 2*seq_len*q_len*bs*$Q$3/$F$3*($Q$6 + $Q$7)*1000*1000/1024/1024/1024/1024/$N$5/$I$5)(A34,$C$3,B34)</f>
      </c>
      <c r="AA34" s="12">
        <f>_xlfn.LAMBDA(seq_len, q_len, bs, seq_len*bs*($Q$6 + $Q$7)*1000*1000/1024/1024/1024/1024/$N$3/$K$5)(A34,$C$3,B34)</f>
      </c>
      <c r="AB34" s="12">
        <f>MAX(F34,G34)+MAX(H34,I34)+MAX(J34,K34)+L34+MAX(Z34,AA34)+MAX(M34,N34)+MAX(O34,P34)+Q34+R34+S34+MAX(T34,U34)+MAX(V34,W34)+X34+Y34</f>
      </c>
      <c r="AC34" s="12">
        <f>(MAX(T34:U34)+MAX(V34:W34))/AB34</f>
      </c>
      <c r="AD34" s="12">
        <f>MAX(Z34:AA34)/AB34</f>
      </c>
      <c r="AE34" s="12">
        <f>AB34*$Q$9/1000</f>
      </c>
      <c r="AF34" s="13">
        <f>1000000*$N$8/24/60/60/D34</f>
      </c>
      <c r="AG34" s="13">
        <f>AF34*$C$6</f>
      </c>
      <c r="AX34" s="2"/>
      <c r="AY34" s="2"/>
      <c r="AZ34" s="2"/>
      <c r="BA34" s="2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</row>
    <row r="35">
      <c r="A35" s="4">
        <f>192*1024</f>
      </c>
      <c r="B35" s="4">
        <v>5</v>
      </c>
      <c r="C35" s="4">
        <f>B35*$F$2*$C$3</f>
      </c>
      <c r="D35" s="34">
        <f>B35*1000/E35</f>
      </c>
      <c r="E35" s="34">
        <f>(AE35+2)/$C$5</f>
      </c>
      <c r="F35" s="12">
        <v>10</v>
      </c>
      <c r="G35" s="12">
        <f>_xlfn.LAMBDA(m,n,k,(m*k+2*m*n+n*k)*1000*1000/$N$3/1024/1024/1024/1024/$K$5)(B35*$C$3,$Q$10,$Q$2)</f>
      </c>
      <c r="H35" s="12">
        <f>_xlfn.LAMBDA(m,n,k, 2*m*n*k*1000*1000/$N$2/1024/1024/1024/1024/$I$2)(B35*$C$3*$F$3, $Q$3*(128+64)/$F$3, $Q$10)</f>
      </c>
      <c r="I35" s="12">
        <f>_xlfn.LAMBDA(m,n,k,(m*k+2*m*n+n*k)*1000*1000/$N$3/1024/1024/1024/1024/$K$5)(B35*$C$3*$F$3, $Q$3*(128+64)/$F$3, $Q$10)</f>
      </c>
      <c r="J35" s="12">
        <f>_xlfn.LAMBDA(b, m,n,k, 2*b*m*n*k*1000*1000/$N$7/1024/1024/1024/1024/$I$2)($Q$3, B35*$C$3, 128, $Q$7)</f>
      </c>
      <c r="K35" s="12">
        <f>_xlfn.LAMBDA(b,m,n,k,b*(2*m*k+2*m*n+2*n*k)*1000*1000/$N$3/1024/1024/1024/1024/$K$5)($Q$3/$F$3, B35*$C$3*$F$3, 128, $Q$7)</f>
      </c>
      <c r="L35" s="12">
        <v>10</v>
      </c>
      <c r="M35" s="12">
        <f>_xlfn.LAMBDA(b, m,n,k, 2*b*m*n*k*1000*1000/$N$7/1024/1024/1024/1024/$I$2)($Q$3, B35*$C$3, 128, $Q$7)</f>
      </c>
      <c r="N35" s="12">
        <f>_xlfn.LAMBDA(b,m,n,k,b*(2*m*k+2*m*n+2*n*k)*1000*1000/$N$3/1024/1024/1024/1024/$K$5)($Q$3/$F$3, B35*$C$3*$F$3, 128, $Q$7)</f>
      </c>
      <c r="O35" s="12">
        <f>_xlfn.LAMBDA(m,n,k, 2*m*n*k*1000*1000/$N$2/1024/1024/1024/1024/$K$2)(B35*$C$3*$F$3, $Q$3*128/$F$3, $Q$2)</f>
      </c>
      <c r="P35" s="12">
        <f>_xlfn.LAMBDA(m,n,k,(m*k+2*m*n+n*k)*1000*1000/$N$3/1024/1024/1024/1024/$K$5)(B35*$C$3*$F$3, $Q$3*128/$F$3, $Q$2)</f>
      </c>
      <c r="Q35" s="12">
        <f>150 + $B35 *$C$3*$F$3 * 2.3</f>
      </c>
      <c r="R35" s="12">
        <f>_xlfn.LAMBDA(tp_size, hidden_size, batch_size, 2*batch_size*(tp_size-1)/tp_size*hidden_size*1000*1000/$N$4/1024/1024/1024/$I$6)($F$3, $Q$2,B35*$C$3*$F$3)</f>
      </c>
      <c r="S35" s="12">
        <f>_xlfn.LAMBDA(token_size_per_rank, to_nodes,hidden_size, sizeof_dtype, 50 + 4*token_size_per_rank * to_nodes * hidden_size*sizeof_dtype*1000*1000/$N$6/1024/1024/1024/$I$7)(B35*$C$5, MIN($F$2,$S$2), $Q$2, 1)</f>
      </c>
      <c r="T35" s="12">
        <f>_xlfn.LAMBDA(m,n,k, 2*m*n*k*1000*1000/$N$2/1024/1024/1024/1024/$I$3)(C35*$S$2/$F$5,$Q$8*2,$Q$2)</f>
      </c>
      <c r="U35" s="12">
        <f>_xlfn.LAMBDA(size_of_dtype, experts, ep_size, hidden_size, internal_dim, experts/ep_size*hidden_size*internal_dim*size_of_dtype/$N$3/$K$5/1024/1024/1024/1024*1000*1000)(0.5,$S$3,$F$5,$Q$2,$Q$8*2)</f>
      </c>
      <c r="V35" s="12">
        <f>_xlfn.LAMBDA(m,n,k, 2*m*n*k*1000*1000/$N$2/1024/1024/1024/1024/$I$3)(C35*$S$2/$F$5,$Q$2,$Q$8)</f>
      </c>
      <c r="W35" s="12">
        <f>_xlfn.LAMBDA(size_of_dtype, experts, ep_size, hidden_size, internal_dim, experts/ep_size*hidden_size*internal_dim*size_of_dtype/$N$3/$K$5/1024/1024/1024/1024*1000*1000)(0.5,$S$3,$F$5,$Q$8, $Q$2)</f>
      </c>
      <c r="X35" s="12">
        <f>S35</f>
      </c>
      <c r="Y35" s="12">
        <f>_xlfn.LAMBDA(tp_size, hidden_size, batch_size, batch_size*(tp_size-1)*hidden_size*1000*1000/$N$4/1024/1024/1024/$I$6)($F$3, $Q$2,B35*$C$3*$F$3)</f>
      </c>
      <c r="Z35" s="12">
        <f>_xlfn.LAMBDA(seq_len, q_len, bs, 2*seq_len*q_len*bs*$Q$3/$F$3*($Q$6 + $Q$7)*1000*1000/1024/1024/1024/1024/$N$5/$I$5)(A35,$C$3,B35)</f>
      </c>
      <c r="AA35" s="12">
        <f>_xlfn.LAMBDA(seq_len, q_len, bs, seq_len*bs*($Q$6 + $Q$7)*1000*1000/1024/1024/1024/1024/$N$3/$K$5)(A35,$C$3,B35)</f>
      </c>
      <c r="AB35" s="12">
        <f>MAX(F35,G35)+MAX(H35,I35)+MAX(J35,K35)+L35+MAX(Z35,AA35)+MAX(M35,N35)+MAX(O35,P35)+Q35+R35+S35+MAX(T35,U35)+MAX(V35,W35)+X35+Y35</f>
      </c>
      <c r="AC35" s="12">
        <f>(MAX(T35:U35)+MAX(V35:W35))/AB35</f>
      </c>
      <c r="AD35" s="12">
        <f>MAX(Z35:AA35)/AB35</f>
      </c>
      <c r="AE35" s="12">
        <f>AB35*$Q$9/1000</f>
      </c>
      <c r="AF35" s="13">
        <f>1000000*$N$8/24/60/60/D35</f>
      </c>
      <c r="AG35" s="13">
        <f>AF35*$C$6</f>
      </c>
      <c r="AX35" s="2"/>
      <c r="AY35" s="2"/>
      <c r="AZ35" s="2"/>
      <c r="BA35" s="2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</row>
    <row r="36">
      <c r="A36" s="4">
        <f>256*1024</f>
      </c>
      <c r="B36" s="4">
        <v>5</v>
      </c>
      <c r="C36" s="4">
        <f>B36*$F$2*$C$3</f>
      </c>
      <c r="D36" s="34">
        <f>B36*1000/E36</f>
      </c>
      <c r="E36" s="34">
        <f>(AE36+2)/$C$5</f>
      </c>
      <c r="F36" s="12">
        <v>10</v>
      </c>
      <c r="G36" s="12">
        <f>_xlfn.LAMBDA(m,n,k,(m*k+2*m*n+n*k)*1000*1000/$N$3/1024/1024/1024/1024/$K$5)(B36*$C$3,$Q$10,$Q$2)</f>
      </c>
      <c r="H36" s="12">
        <f>_xlfn.LAMBDA(m,n,k, 2*m*n*k*1000*1000/$N$2/1024/1024/1024/1024/$I$2)(B36*$C$3*$F$3, $Q$3*(128+64)/$F$3, $Q$10)</f>
      </c>
      <c r="I36" s="12">
        <f>_xlfn.LAMBDA(m,n,k,(m*k+2*m*n+n*k)*1000*1000/$N$3/1024/1024/1024/1024/$K$5)(B36*$C$3*$F$3, $Q$3*(128+64)/$F$3, $Q$10)</f>
      </c>
      <c r="J36" s="12">
        <f>_xlfn.LAMBDA(b, m,n,k, 2*b*m*n*k*1000*1000/$N$7/1024/1024/1024/1024/$I$2)($Q$3, B36*$C$3, 128, $Q$7)</f>
      </c>
      <c r="K36" s="12">
        <f>_xlfn.LAMBDA(b,m,n,k,b*(2*m*k+2*m*n+2*n*k)*1000*1000/$N$3/1024/1024/1024/1024/$K$5)($Q$3/$F$3, B36*$C$3*$F$3, 128, $Q$7)</f>
      </c>
      <c r="L36" s="12">
        <v>10</v>
      </c>
      <c r="M36" s="12">
        <f>_xlfn.LAMBDA(b, m,n,k, 2*b*m*n*k*1000*1000/$N$7/1024/1024/1024/1024/$I$2)($Q$3, B36*$C$3, 128, $Q$7)</f>
      </c>
      <c r="N36" s="12">
        <f>_xlfn.LAMBDA(b,m,n,k,b*(2*m*k+2*m*n+2*n*k)*1000*1000/$N$3/1024/1024/1024/1024/$K$5)($Q$3/$F$3, B36*$C$3*$F$3, 128, $Q$7)</f>
      </c>
      <c r="O36" s="12">
        <f>_xlfn.LAMBDA(m,n,k, 2*m*n*k*1000*1000/$N$2/1024/1024/1024/1024/$K$2)(B36*$C$3*$F$3, $Q$3*128/$F$3, $Q$2)</f>
      </c>
      <c r="P36" s="12">
        <f>_xlfn.LAMBDA(m,n,k,(m*k+2*m*n+n*k)*1000*1000/$N$3/1024/1024/1024/1024/$K$5)(B36*$C$3*$F$3, $Q$3*128/$F$3, $Q$2)</f>
      </c>
      <c r="Q36" s="12">
        <f>150 + $B36 *$C$3*$F$3 * 2.3</f>
      </c>
      <c r="R36" s="12">
        <f>_xlfn.LAMBDA(tp_size, hidden_size, batch_size, 2*batch_size*(tp_size-1)/tp_size*hidden_size*1000*1000/$N$4/1024/1024/1024/$I$6)($F$3, $Q$2,B36*$C$3*$F$3)</f>
      </c>
      <c r="S36" s="12">
        <f>_xlfn.LAMBDA(token_size_per_rank, to_nodes,hidden_size, sizeof_dtype, 50 + 4*token_size_per_rank * to_nodes * hidden_size*sizeof_dtype*1000*1000/$N$6/1024/1024/1024/$I$7)(B36*$C$5, MIN($F$2,$S$2), $Q$2, 1)</f>
      </c>
      <c r="T36" s="12">
        <f>_xlfn.LAMBDA(m,n,k, 2*m*n*k*1000*1000/$N$2/1024/1024/1024/1024/$I$3)(C36*$S$2/$F$5,$Q$8*2,$Q$2)</f>
      </c>
      <c r="U36" s="12">
        <f>_xlfn.LAMBDA(size_of_dtype, experts, ep_size, hidden_size, internal_dim, experts/ep_size*hidden_size*internal_dim*size_of_dtype/$N$3/$K$5/1024/1024/1024/1024*1000*1000)(0.5,$S$3,$F$5,$Q$2,$Q$8*2)</f>
      </c>
      <c r="V36" s="12">
        <f>_xlfn.LAMBDA(m,n,k, 2*m*n*k*1000*1000/$N$2/1024/1024/1024/1024/$I$3)(C36*$S$2/$F$5,$Q$2,$Q$8)</f>
      </c>
      <c r="W36" s="12">
        <f>_xlfn.LAMBDA(size_of_dtype, experts, ep_size, hidden_size, internal_dim, experts/ep_size*hidden_size*internal_dim*size_of_dtype/$N$3/$K$5/1024/1024/1024/1024*1000*1000)(0.5,$S$3,$F$5,$Q$8, $Q$2)</f>
      </c>
      <c r="X36" s="12">
        <f>S36</f>
      </c>
      <c r="Y36" s="12">
        <f>_xlfn.LAMBDA(tp_size, hidden_size, batch_size, batch_size*(tp_size-1)*hidden_size*1000*1000/$N$4/1024/1024/1024/$I$6)($F$3, $Q$2,B36*$C$3*$F$3)</f>
      </c>
      <c r="Z36" s="12">
        <f>_xlfn.LAMBDA(seq_len, q_len, bs, 2*seq_len*q_len*bs*$Q$3/$F$3*($Q$6 + $Q$7)*1000*1000/1024/1024/1024/1024/$N$5/$I$5)(A36,$C$3,B36)</f>
      </c>
      <c r="AA36" s="12">
        <f>_xlfn.LAMBDA(seq_len, q_len, bs, seq_len*bs*($Q$6 + $Q$7)*1000*1000/1024/1024/1024/1024/$N$3/$K$5)(A36,$C$3,B36)</f>
      </c>
      <c r="AB36" s="12">
        <f>MAX(F36,G36)+MAX(H36,I36)+MAX(J36,K36)+L36+MAX(Z36,AA36)+MAX(M36,N36)+MAX(O36,P36)+Q36+R36+S36+MAX(T36,U36)+MAX(V36,W36)+X36+Y36</f>
      </c>
      <c r="AC36" s="12">
        <f>(MAX(T36:U36)+MAX(V36:W36))/AB36</f>
      </c>
      <c r="AD36" s="12">
        <f>MAX(Z36:AA36)/AB36</f>
      </c>
      <c r="AE36" s="12">
        <f>AB36*$Q$9/1000</f>
      </c>
      <c r="AF36" s="13">
        <f>1000000*$N$8/24/60/60/D36</f>
      </c>
      <c r="AG36" s="13">
        <f>AF36*$C$6</f>
      </c>
      <c r="AX36" s="2"/>
      <c r="AY36" s="2"/>
      <c r="AZ36" s="2"/>
      <c r="BA36" s="2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</row>
    <row r="37">
      <c r="A37" s="2"/>
      <c r="B37" s="2"/>
      <c r="C37" s="2"/>
      <c r="D37" s="34"/>
      <c r="E37" s="34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3"/>
      <c r="AG37" s="13"/>
      <c r="AH37" s="4"/>
      <c r="AI37" s="4"/>
      <c r="AJ37" s="4"/>
      <c r="AK37" s="4"/>
      <c r="AL37" s="4"/>
      <c r="AM37" s="4"/>
      <c r="AN37" s="2"/>
      <c r="AO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2"/>
      <c r="AW39" s="2"/>
      <c r="AX39" s="2"/>
      <c r="AY39" s="2"/>
      <c r="AZ39" s="2"/>
      <c r="BA39" s="2"/>
      <c r="BB39" s="2"/>
      <c r="BC39" s="2" t="str">
        <v>输入长度</v>
      </c>
      <c r="BD39" s="2" t="str">
        <v>输出长度</v>
      </c>
      <c r="BE39" s="2" t="str">
        <v>输入价格</v>
      </c>
      <c r="BF39" s="2" t="str">
        <v>输出价格</v>
      </c>
      <c r="BG39" s="2" t="str">
        <v>输入成本</v>
      </c>
      <c r="BH39" s="2" t="str">
        <v>输出成本</v>
      </c>
      <c r="BI39" s="2" t="str">
        <v>毛利率</v>
      </c>
      <c r="BJ39" s="2"/>
      <c r="BK39" s="2"/>
      <c r="BL39" s="2"/>
      <c r="BM39" s="2"/>
      <c r="BN39" s="2"/>
      <c r="BO39" s="2"/>
      <c r="BP39" s="2"/>
      <c r="BQ39" s="2"/>
      <c r="BR39" s="2"/>
      <c r="BS39" s="2"/>
    </row>
    <row r="40">
      <c r="A40" s="16" t="str">
        <v>Prefill 分段成本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2"/>
      <c r="AA40" s="2"/>
      <c r="AB40" s="2"/>
      <c r="AC40" s="2"/>
      <c r="AD40" s="2"/>
      <c r="AE40" s="2"/>
      <c r="AF40" s="2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2"/>
      <c r="AW40" s="2"/>
      <c r="AX40" s="2"/>
      <c r="AY40" s="2"/>
      <c r="AZ40" s="2"/>
      <c r="BA40" s="2"/>
      <c r="BB40" s="2" t="str">
        <v>毛利快速计算器</v>
      </c>
      <c r="BC40" s="2">
        <v>8000</v>
      </c>
      <c r="BD40" s="2">
        <v>800</v>
      </c>
      <c r="BE40" s="2">
        <v>2</v>
      </c>
      <c r="BF40" s="2">
        <v>3</v>
      </c>
      <c r="BG40" s="2">
        <v>1.5</v>
      </c>
      <c r="BH40" s="2">
        <v>2.4</v>
      </c>
      <c r="BI40" s="15">
        <f>((BC40*BE40+BD40*BF40)/1.06-(BC40*BG40+BD40*BH40))/((BC40*BE40+BD40*BF40)/1.06)</f>
      </c>
      <c r="BJ40" s="2"/>
      <c r="BK40" s="2"/>
      <c r="BL40" s="2"/>
      <c r="BM40" s="2"/>
      <c r="BN40" s="2"/>
      <c r="BO40" s="2"/>
      <c r="BP40" s="2"/>
      <c r="BQ40" s="2"/>
      <c r="BR40" s="2"/>
      <c r="BS40" s="2"/>
    </row>
    <row r="41">
      <c r="A41" s="1" t="str">
        <v>序列长度</v>
      </c>
      <c r="B41" s="1" t="str">
        <v>DP BatchSize</v>
      </c>
      <c r="C41" s="1" t="str">
        <v>Global BatchSize</v>
      </c>
      <c r="D41" s="1" t="str">
        <v>TTFT</v>
      </c>
      <c r="E41" s="1" t="str">
        <v>预估serving损耗</v>
      </c>
      <c r="F41" s="1" t="str">
        <v>tps/card</v>
      </c>
      <c r="G41" s="2" t="str">
        <v>serving tps / card</v>
      </c>
      <c r="H41" s="1" t="str">
        <v>cost1成本(元/百万Token)</v>
      </c>
      <c r="I41" s="1" t="str">
        <v>q_a_proj 计算耗时</v>
      </c>
      <c r="J41" s="1" t="str">
        <v>q_b_proj_计算耗时</v>
      </c>
      <c r="K41" s="1" t="str">
        <v>kv_a_proj 计算耗时</v>
      </c>
      <c r="L41" s="1" t="str">
        <v>kv_b_proj 计算耗时
*bf16</v>
      </c>
      <c r="M41" s="1" t="str">
        <v>attn 计算耗时
*bf16 精度</v>
      </c>
      <c r="N41" s="1" t="str">
        <v>v_b_proj 计算耗时
*bf16</v>
      </c>
      <c r="O41" s="1" t="str">
        <v>o_proj 计算耗时</v>
      </c>
      <c r="P41" s="1" t="str">
        <v>element_wise&amp;topk
*包含 combine_q 等开销</v>
      </c>
      <c r="Q41" s="17" t="str">
        <v>all_reduce</v>
      </c>
      <c r="R41" s="17" t="str">
        <v>ffn0 计算耗时</v>
      </c>
      <c r="S41" s="1" t="str">
        <v>ffn1 计算耗时</v>
      </c>
      <c r="T41" s="1" t="str">
        <v>all_reduce
*包含ep不均损耗</v>
      </c>
      <c r="U41" s="1" t="str">
        <v>all_layer耗时(ms)</v>
      </c>
      <c r="V41" s="1" t="str">
        <v>cost3成本(元/百万Token)</v>
      </c>
      <c r="W41" s="2"/>
      <c r="X41" s="2"/>
      <c r="Y41" s="2"/>
      <c r="Z41" s="2"/>
      <c r="AA41" s="2"/>
      <c r="AB41" s="2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2"/>
      <c r="AS41" s="2"/>
      <c r="AT41" s="2"/>
      <c r="AU41" s="2"/>
      <c r="AV41" s="2"/>
      <c r="AW41" s="2"/>
      <c r="AX41" s="2"/>
      <c r="AY41" s="2">
        <v>8000</v>
      </c>
      <c r="AZ41" s="2">
        <v>800</v>
      </c>
      <c r="BA41" s="2">
        <v>2</v>
      </c>
      <c r="BB41" s="2">
        <v>8</v>
      </c>
      <c r="BC41" s="2">
        <v>1.5</v>
      </c>
      <c r="BD41" s="2">
        <v>2.4</v>
      </c>
      <c r="BE41" s="15">
        <f>((AY41*BA41+AZ41*BB41)/1.06-(AY41*BC41+AZ41*BD41))/((AY41*BA41+AZ41*BB41)/1.06)</f>
      </c>
      <c r="BJ41" s="2"/>
      <c r="BK41" s="2"/>
      <c r="BL41" s="2"/>
      <c r="BM41" s="2"/>
      <c r="BN41" s="2"/>
      <c r="BO41" s="2"/>
      <c r="BP41" s="2"/>
      <c r="BQ41" s="2"/>
      <c r="BR41" s="2"/>
      <c r="BS41" s="2"/>
    </row>
    <row r="42">
      <c r="A42" s="1">
        <v>1</v>
      </c>
      <c r="B42" s="1">
        <v>1024</v>
      </c>
      <c r="C42" s="1">
        <f>B42*$F$10</f>
      </c>
      <c r="D42" s="11">
        <f>CEILING(A42/B42)*U42+($F$11-1)*U42</f>
      </c>
      <c r="E42" s="11">
        <v>0.7</v>
      </c>
      <c r="F42" s="11">
        <f>B42/(U42/1000)/$F$9/(1-$C$7)</f>
      </c>
      <c r="G42" s="38">
        <f>F42*E42</f>
      </c>
      <c r="H42" s="11">
        <f>1000000*$N$15/24/60/60/F42</f>
      </c>
      <c r="I42" s="12">
        <f>_xlfn.LAMBDA(m,n,k, 2*m*n*k*1000*1000/$N$2/1024/1024/1024/1024/$I$9)(B42,$Q$10,$Q$2)</f>
      </c>
      <c r="J42" s="12">
        <f>_xlfn.LAMBDA(m,n,k, 2*m*n*k*1000*1000/$N$9/1024/1024/1024/1024/$I$9)(B42, $Q$3*(128+64)/$F$10, $Q$10)</f>
      </c>
      <c r="K42" s="11">
        <f>_xlfn.LAMBDA(m,n,k, 2*m*n*k*1000*1000/$N$9/1024/1024/1024/1024/$I$9)(B42,$Q$6,$Q$2)</f>
      </c>
      <c r="L42" s="11">
        <f>_xlfn.LAMBDA(b, m,n,k, 2*b*m*n*k*1000*1000/$N$14/1024/1024/1024/1024/$I$9)($Q$3, B42, 128, $Q$7)</f>
      </c>
      <c r="M42" s="11">
        <f>_xlfn.LAMBDA(seq_len, q_len, bs, seq_len^2 / 2 * 2 *$Q$3/$F$10*($Q$6 + $Q$7)*1000*1000/1000/1000/1000/1000/$N$12/$K$13/(A42/B42))(A42, A42,B42)</f>
      </c>
      <c r="N42" s="11">
        <f>_xlfn.LAMBDA(b, m,n,k, 2*b*m*n*k*1000*1000/$N$14/1024/1024/1024/1024/$I$9)($Q$3,B42, 128, $Q$7)</f>
      </c>
      <c r="O42" s="11">
        <f>_xlfn.LAMBDA(m,n,k, 2*m*n*k*1000*1000/$N$9/1024/1024/1024/1024/$I$9)(B42, $Q$3*128/$F$10, $Q$2)</f>
      </c>
      <c r="P42" s="11">
        <v>1000</v>
      </c>
      <c r="Q42" s="11">
        <f>_xlfn.LAMBDA(tp_size, hidden_size, batch_size, 2*batch_size*(tp_size-1)/tp_size*hidden_size*1000*1000/$N$11/1024/1024/1024/$I$13)($F$10, $Q$2,B42)</f>
      </c>
      <c r="R42" s="11">
        <f>_xlfn.LAMBDA(m,n,k, 2*m*n*k*1000*1000/$N$9/1024/1024/1024/1024/$I$10)(B42*$S$2/$F$12,$Q$8*2,$Q$2)</f>
      </c>
      <c r="S42" s="11">
        <f>_xlfn.LAMBDA(m,n,k, 2*m*n*k*1000*1000/$N$9/1024/1024/1024/1024/$I$10)(B42*$S$2/$F$12,$Q$2,$Q$8)</f>
      </c>
      <c r="T42" s="11">
        <v>0</v>
      </c>
      <c r="U42" s="11">
        <f>CEILING($Q$9/$F$11)*SUM(I42:T42)/1000</f>
      </c>
      <c r="V42" s="11">
        <f>H42*$C$6</f>
      </c>
      <c r="W42" s="2"/>
      <c r="X42" s="2"/>
      <c r="Y42" s="2"/>
      <c r="Z42" s="2"/>
      <c r="AA42" s="2"/>
      <c r="AB42" s="2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J42" s="2"/>
      <c r="BK42" s="2"/>
      <c r="BL42" s="2"/>
      <c r="BM42" s="2"/>
      <c r="BN42" s="2"/>
      <c r="BO42" s="2"/>
      <c r="BP42" s="2"/>
      <c r="BQ42" s="2"/>
      <c r="BR42" s="2"/>
      <c r="BS42" s="2"/>
    </row>
    <row r="43">
      <c r="A43" s="1">
        <v>1024</v>
      </c>
      <c r="B43" s="1">
        <v>1024</v>
      </c>
      <c r="C43" s="1">
        <f>B43*$F$10</f>
      </c>
      <c r="D43" s="11">
        <f>CEILING(A43/B43)*U43+($F$11-1)*U43</f>
      </c>
      <c r="E43" s="11">
        <v>0.7</v>
      </c>
      <c r="F43" s="11">
        <f>B43/(U43/1000)/$F$9/(1-$C$7)</f>
      </c>
      <c r="G43" s="38">
        <f>F43*E43</f>
      </c>
      <c r="H43" s="11">
        <f>1000000*$N$15/24/60/60/F43</f>
      </c>
      <c r="I43" s="12">
        <f>_xlfn.LAMBDA(m,n,k, 2*m*n*k*1000*1000/$N$2/1024/1024/1024/1024/$I$9)(B43,$Q$10,$Q$2)</f>
      </c>
      <c r="J43" s="12">
        <f>_xlfn.LAMBDA(m,n,k, 2*m*n*k*1000*1000/$N$9/1024/1024/1024/1024/$I$9)(B43, $Q$3*(128+64)/$F$10, $Q$10)</f>
      </c>
      <c r="K43" s="11">
        <f>_xlfn.LAMBDA(m,n,k, 2*m*n*k*1000*1000/$N$9/1024/1024/1024/1024/$I$9)(B43,$Q$6,$Q$2)</f>
      </c>
      <c r="L43" s="11">
        <f>_xlfn.LAMBDA(b, m,n,k, 2*b*m*n*k*1000*1000/$N$14/1024/1024/1024/1024/$I$9)($Q$3, B43, 128, $Q$7)</f>
      </c>
      <c r="M43" s="11">
        <f>_xlfn.LAMBDA(seq_len, q_len, bs, seq_len^2 / 2 * 2 *$Q$3/$F$10*($Q$6 + $Q$7)*1000*1000/1000/1000/1000/1000/$N$12/$K$13/(A43/B43))(A43, A43,B43)</f>
      </c>
      <c r="N43" s="11">
        <f>_xlfn.LAMBDA(b, m,n,k, 2*b*m*n*k*1000*1000/$N$14/1024/1024/1024/1024/$I$9)($Q$3,B43, 128, $Q$7)</f>
      </c>
      <c r="O43" s="11">
        <f>_xlfn.LAMBDA(m,n,k, 2*m*n*k*1000*1000/$N$9/1024/1024/1024/1024/$I$9)(B43, $Q$3*128/$F$10, $Q$2)</f>
      </c>
      <c r="P43" s="11">
        <v>1000</v>
      </c>
      <c r="Q43" s="11">
        <f>_xlfn.LAMBDA(tp_size, hidden_size, batch_size, 2*batch_size*(tp_size-1)/tp_size*hidden_size*1000*1000/$N$11/1024/1024/1024/$I$13)($F$10, $Q$2,B43)</f>
      </c>
      <c r="R43" s="11">
        <f>_xlfn.LAMBDA(m,n,k, 2*m*n*k*1000*1000/$N$9/1024/1024/1024/1024/$I$10)(B43*$S$2/$F$12,$Q$8*2,$Q$2)</f>
      </c>
      <c r="S43" s="11">
        <f>_xlfn.LAMBDA(m,n,k, 2*m*n*k*1000*1000/$N$9/1024/1024/1024/1024/$I$10)(B43*$S$2/$F$12,$Q$2,$Q$8)</f>
      </c>
      <c r="T43" s="11">
        <v>0</v>
      </c>
      <c r="U43" s="11">
        <f>CEILING($Q$9/$F$11)*SUM(I43:T43)/1000</f>
      </c>
      <c r="V43" s="11">
        <f>H43*$C$6</f>
      </c>
      <c r="W43" s="2"/>
      <c r="X43" s="2"/>
      <c r="Y43" s="2"/>
      <c r="Z43" s="2"/>
      <c r="AA43" s="2"/>
      <c r="AB43" s="2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J43" s="2"/>
      <c r="BK43" s="2"/>
      <c r="BL43" s="2"/>
      <c r="BM43" s="2"/>
      <c r="BN43" s="2"/>
      <c r="BO43" s="2"/>
      <c r="BP43" s="2"/>
      <c r="BQ43" s="2"/>
      <c r="BR43" s="2"/>
      <c r="BS43" s="2"/>
    </row>
    <row r="44">
      <c r="A44" s="1">
        <v>2048</v>
      </c>
      <c r="B44" s="1">
        <v>1024</v>
      </c>
      <c r="C44" s="1">
        <f>B44*$F$10</f>
      </c>
      <c r="D44" s="11">
        <f>CEILING(A44/B44)*U44+($F$11-1)*U44</f>
      </c>
      <c r="E44" s="11">
        <v>0.7</v>
      </c>
      <c r="F44" s="11">
        <f>B44/(U44/1000)/$F$9/(1-$C$7)</f>
      </c>
      <c r="G44" s="38">
        <f>F44*E44</f>
      </c>
      <c r="H44" s="11">
        <f>1000000*$N$15/24/60/60/F44</f>
      </c>
      <c r="I44" s="12">
        <f>_xlfn.LAMBDA(m,n,k, 2*m*n*k*1000*1000/$N$2/1024/1024/1024/1024/$I$9)(B44,$Q$10,$Q$2)</f>
      </c>
      <c r="J44" s="12">
        <f>_xlfn.LAMBDA(m,n,k, 2*m*n*k*1000*1000/$N$9/1024/1024/1024/1024/$I$9)(B44, $Q$3*(128+64)/$F$10, $Q$10)</f>
      </c>
      <c r="K44" s="11">
        <f>_xlfn.LAMBDA(m,n,k, 2*m*n*k*1000*1000/$N$9/1024/1024/1024/1024/$I$9)(B44,$Q$6,$Q$2)</f>
      </c>
      <c r="L44" s="11">
        <f>_xlfn.LAMBDA(b, m,n,k, 2*b*m*n*k*1000*1000/$N$14/1024/1024/1024/1024/$I$9)($Q$3, B44, 128, $Q$7)</f>
      </c>
      <c r="M44" s="11">
        <f>_xlfn.LAMBDA(seq_len, q_len, bs, seq_len^2 / 2 * 2 *$Q$3/$F$10*($Q$6 + $Q$7)*1000*1000/1000/1000/1000/1000/$N$12/$K$13/(A44/B44))(A44, A44,B44)</f>
      </c>
      <c r="N44" s="11">
        <f>_xlfn.LAMBDA(b, m,n,k, 2*b*m*n*k*1000*1000/$N$14/1024/1024/1024/1024/$I$9)($Q$3,B44, 128, $Q$7)</f>
      </c>
      <c r="O44" s="11">
        <f>_xlfn.LAMBDA(m,n,k, 2*m*n*k*1000*1000/$N$9/1024/1024/1024/1024/$I$9)(B44, $Q$3*128/$F$10, $Q$2)</f>
      </c>
      <c r="P44" s="11">
        <v>1000</v>
      </c>
      <c r="Q44" s="11">
        <f>_xlfn.LAMBDA(tp_size, hidden_size, batch_size, 2*batch_size*(tp_size-1)/tp_size*hidden_size*1000*1000/$N$11/1024/1024/1024/$I$13)($F$10, $Q$2,B44)</f>
      </c>
      <c r="R44" s="11">
        <f>_xlfn.LAMBDA(m,n,k, 2*m*n*k*1000*1000/$N$9/1024/1024/1024/1024/$I$10)(B44*$S$2/$F$12,$Q$8*2,$Q$2)</f>
      </c>
      <c r="S44" s="11">
        <f>_xlfn.LAMBDA(m,n,k, 2*m*n*k*1000*1000/$N$9/1024/1024/1024/1024/$I$10)(B44*$S$2/$F$12,$Q$2,$Q$8)</f>
      </c>
      <c r="T44" s="11">
        <v>0</v>
      </c>
      <c r="U44" s="11">
        <f>CEILING($Q$9/$F$11)*SUM(I44:T44)/1000</f>
      </c>
      <c r="V44" s="11">
        <f>H44*$C$6</f>
      </c>
      <c r="W44" s="2"/>
      <c r="X44" s="2"/>
      <c r="Y44" s="2"/>
      <c r="Z44" s="2"/>
      <c r="AA44" s="2"/>
      <c r="AB44" s="2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J44" s="2"/>
      <c r="BK44" s="2"/>
      <c r="BL44" s="2"/>
      <c r="BM44" s="2"/>
      <c r="BN44" s="2"/>
      <c r="BO44" s="2"/>
      <c r="BP44" s="2"/>
      <c r="BQ44" s="2"/>
      <c r="BR44" s="2"/>
      <c r="BS44" s="2"/>
    </row>
    <row r="45">
      <c r="A45" s="1">
        <v>3072</v>
      </c>
      <c r="B45" s="1">
        <v>1024</v>
      </c>
      <c r="C45" s="1">
        <f>B45*$F$10</f>
      </c>
      <c r="D45" s="11">
        <f>CEILING(A45/B45)*U45+($F$11-1)*U45</f>
      </c>
      <c r="E45" s="11">
        <v>0.7</v>
      </c>
      <c r="F45" s="11">
        <f>B45/(U45/1000)/$F$9/(1-$C$7)</f>
      </c>
      <c r="G45" s="38">
        <f>F45*E45</f>
      </c>
      <c r="H45" s="11">
        <f>1000000*$N$15/24/60/60/F45</f>
      </c>
      <c r="I45" s="12">
        <f>_xlfn.LAMBDA(m,n,k, 2*m*n*k*1000*1000/$N$2/1024/1024/1024/1024/$I$9)(B45,$Q$10,$Q$2)</f>
      </c>
      <c r="J45" s="12">
        <f>_xlfn.LAMBDA(m,n,k, 2*m*n*k*1000*1000/$N$9/1024/1024/1024/1024/$I$9)(B45, $Q$3*(128+64)/$F$10, $Q$10)</f>
      </c>
      <c r="K45" s="11">
        <f>_xlfn.LAMBDA(m,n,k, 2*m*n*k*1000*1000/$N$9/1024/1024/1024/1024/$I$9)(B45,$Q$6,$Q$2)</f>
      </c>
      <c r="L45" s="11">
        <f>_xlfn.LAMBDA(b, m,n,k, 2*b*m*n*k*1000*1000/$N$14/1024/1024/1024/1024/$I$9)($Q$3, B45, 128, $Q$7)</f>
      </c>
      <c r="M45" s="11">
        <f>_xlfn.LAMBDA(seq_len, q_len, bs, seq_len^2 / 2 * 2 *$Q$3/$F$10*($Q$6 + $Q$7)*1000*1000/1000/1000/1000/1000/$N$12/$K$13/(A45/B45))(A45, A45,B45)</f>
      </c>
      <c r="N45" s="11">
        <f>_xlfn.LAMBDA(b, m,n,k, 2*b*m*n*k*1000*1000/$N$14/1024/1024/1024/1024/$I$9)($Q$3,B45, 128, $Q$7)</f>
      </c>
      <c r="O45" s="11">
        <f>_xlfn.LAMBDA(m,n,k, 2*m*n*k*1000*1000/$N$9/1024/1024/1024/1024/$I$9)(B45, $Q$3*128/$F$10, $Q$2)</f>
      </c>
      <c r="P45" s="11">
        <v>1000</v>
      </c>
      <c r="Q45" s="11">
        <f>_xlfn.LAMBDA(tp_size, hidden_size, batch_size, 2*batch_size*(tp_size-1)/tp_size*hidden_size*1000*1000/$N$11/1024/1024/1024/$I$13)($F$10, $Q$2,B45)</f>
      </c>
      <c r="R45" s="11">
        <f>_xlfn.LAMBDA(m,n,k, 2*m*n*k*1000*1000/$N$9/1024/1024/1024/1024/$I$10)(B45*$S$2/$F$12,$Q$8*2,$Q$2)</f>
      </c>
      <c r="S45" s="11">
        <f>_xlfn.LAMBDA(m,n,k, 2*m*n*k*1000*1000/$N$9/1024/1024/1024/1024/$I$10)(B45*$S$2/$F$12,$Q$2,$Q$8)</f>
      </c>
      <c r="T45" s="11">
        <v>0</v>
      </c>
      <c r="U45" s="11">
        <f>CEILING($Q$9/$F$11)*SUM(I45:T45)/1000</f>
      </c>
      <c r="V45" s="11">
        <f>H45*$C$6</f>
      </c>
      <c r="W45" s="2"/>
      <c r="X45" s="2"/>
      <c r="Y45" s="2"/>
      <c r="Z45" s="2"/>
      <c r="AA45" s="2"/>
      <c r="AB45" s="2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J45" s="2"/>
      <c r="BK45" s="2"/>
      <c r="BL45" s="2"/>
      <c r="BM45" s="2"/>
      <c r="BN45" s="2"/>
      <c r="BO45" s="2"/>
      <c r="BP45" s="2"/>
      <c r="BQ45" s="2"/>
      <c r="BR45" s="2"/>
      <c r="BS45" s="2"/>
    </row>
    <row r="46">
      <c r="A46" s="1">
        <v>4096</v>
      </c>
      <c r="B46" s="1">
        <v>1024</v>
      </c>
      <c r="C46" s="1">
        <f>B46*$F$10</f>
      </c>
      <c r="D46" s="11">
        <f>CEILING(A46/B46)*U46+($F$11-1)*U46</f>
      </c>
      <c r="E46" s="11">
        <v>0.7</v>
      </c>
      <c r="F46" s="11">
        <f>B46/(U46/1000)/$F$9/(1-$C$7)</f>
      </c>
      <c r="G46" s="38">
        <f>F46*E46</f>
      </c>
      <c r="H46" s="11">
        <f>1000000*$N$15/24/60/60/F46</f>
      </c>
      <c r="I46" s="12">
        <f>_xlfn.LAMBDA(m,n,k, 2*m*n*k*1000*1000/$N$2/1024/1024/1024/1024/$I$9)(B46,$Q$10,$Q$2)</f>
      </c>
      <c r="J46" s="12">
        <f>_xlfn.LAMBDA(m,n,k, 2*m*n*k*1000*1000/$N$9/1024/1024/1024/1024/$I$9)(B46, $Q$3*(128+64)/$F$10, $Q$10)</f>
      </c>
      <c r="K46" s="11">
        <f>_xlfn.LAMBDA(m,n,k, 2*m*n*k*1000*1000/$N$9/1024/1024/1024/1024/$I$9)(B46,$Q$6,$Q$2)</f>
      </c>
      <c r="L46" s="11">
        <f>_xlfn.LAMBDA(b, m,n,k, 2*b*m*n*k*1000*1000/$N$14/1024/1024/1024/1024/$I$9)($Q$3, B46, 128, $Q$7)</f>
      </c>
      <c r="M46" s="11">
        <f>_xlfn.LAMBDA(seq_len, q_len, bs, seq_len^2 / 2 * 2 *$Q$3/$F$10*($Q$6 + $Q$7)*1000*1000/1000/1000/1000/1000/$N$12/$K$13/(A46/B46))(A46, A46,B46)</f>
      </c>
      <c r="N46" s="11">
        <f>_xlfn.LAMBDA(b, m,n,k, 2*b*m*n*k*1000*1000/$N$14/1024/1024/1024/1024/$I$9)($Q$3,B46, 128, $Q$7)</f>
      </c>
      <c r="O46" s="11">
        <f>_xlfn.LAMBDA(m,n,k, 2*m*n*k*1000*1000/$N$9/1024/1024/1024/1024/$I$9)(B46, $Q$3*128/$F$10, $Q$2)</f>
      </c>
      <c r="P46" s="11">
        <v>1000</v>
      </c>
      <c r="Q46" s="11">
        <f>_xlfn.LAMBDA(tp_size, hidden_size, batch_size, 2*batch_size*(tp_size-1)/tp_size*hidden_size*1000*1000/$N$11/1024/1024/1024/$I$13)($F$10, $Q$2,B46)</f>
      </c>
      <c r="R46" s="11">
        <f>_xlfn.LAMBDA(m,n,k, 2*m*n*k*1000*1000/$N$9/1024/1024/1024/1024/$I$10)(B46*$S$2/$F$12,$Q$8*2,$Q$2)</f>
      </c>
      <c r="S46" s="11">
        <f>_xlfn.LAMBDA(m,n,k, 2*m*n*k*1000*1000/$N$9/1024/1024/1024/1024/$I$10)(B46*$S$2/$F$12,$Q$2,$Q$8)</f>
      </c>
      <c r="T46" s="11">
        <v>0</v>
      </c>
      <c r="U46" s="11">
        <f>CEILING($Q$9/$F$11)*SUM(I46:T46)/1000</f>
      </c>
      <c r="V46" s="11">
        <f>H46*$C$6</f>
      </c>
      <c r="W46" s="2"/>
      <c r="X46" s="2"/>
      <c r="Y46" s="2"/>
      <c r="Z46" s="2"/>
      <c r="AA46" s="2"/>
      <c r="AB46" s="2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J46" s="2"/>
      <c r="BK46" s="2"/>
      <c r="BL46" s="2"/>
      <c r="BM46" s="2"/>
      <c r="BN46" s="2"/>
      <c r="BO46" s="2"/>
      <c r="BP46" s="2"/>
      <c r="BQ46" s="2"/>
      <c r="BR46" s="2"/>
      <c r="BS46" s="2"/>
    </row>
    <row r="47">
      <c r="A47" s="1">
        <v>8192</v>
      </c>
      <c r="B47" s="1">
        <v>1024</v>
      </c>
      <c r="C47" s="1">
        <f>B47*$F$10</f>
      </c>
      <c r="D47" s="11">
        <f>CEILING(A47/B47)*U47+($F$11-1)*U47</f>
      </c>
      <c r="E47" s="11">
        <v>0.7</v>
      </c>
      <c r="F47" s="11">
        <f>B47/(U47/1000)/$F$9/(1-$C$7)</f>
      </c>
      <c r="G47" s="38">
        <f>F47*E47</f>
      </c>
      <c r="H47" s="11">
        <f>1000000*$N$15/24/60/60/F47</f>
      </c>
      <c r="I47" s="12">
        <f>_xlfn.LAMBDA(m,n,k, 2*m*n*k*1000*1000/$N$2/1024/1024/1024/1024/$I$9)(B47,$Q$10,$Q$2)</f>
      </c>
      <c r="J47" s="12">
        <f>_xlfn.LAMBDA(m,n,k, 2*m*n*k*1000*1000/$N$9/1024/1024/1024/1024/$I$9)(B47, $Q$3*(128+64)/$F$10, $Q$10)</f>
      </c>
      <c r="K47" s="11">
        <f>_xlfn.LAMBDA(m,n,k, 2*m*n*k*1000*1000/$N$9/1024/1024/1024/1024/$I$9)(B47,$Q$6,$Q$2)</f>
      </c>
      <c r="L47" s="11">
        <f>_xlfn.LAMBDA(b, m,n,k, 2*b*m*n*k*1000*1000/$N$14/1024/1024/1024/1024/$I$9)($Q$3, B47, 128, $Q$7)</f>
      </c>
      <c r="M47" s="11">
        <f>_xlfn.LAMBDA(seq_len, q_len, bs, seq_len^2 / 2 * 2 *$Q$3/$F$10*($Q$6 + $Q$7)*1000*1000/1000/1000/1000/1000/$N$12/$K$13/(A47/B47))(A47, A47,B47)</f>
      </c>
      <c r="N47" s="11">
        <f>_xlfn.LAMBDA(b, m,n,k, 2*b*m*n*k*1000*1000/$N$14/1024/1024/1024/1024/$I$9)($Q$3,B47, 128, $Q$7)</f>
      </c>
      <c r="O47" s="11">
        <f>_xlfn.LAMBDA(m,n,k, 2*m*n*k*1000*1000/$N$9/1024/1024/1024/1024/$I$9)(B47, $Q$3*128/$F$10, $Q$2)</f>
      </c>
      <c r="P47" s="11">
        <v>1000</v>
      </c>
      <c r="Q47" s="11">
        <f>_xlfn.LAMBDA(tp_size, hidden_size, batch_size, 2*batch_size*(tp_size-1)/tp_size*hidden_size*1000*1000/$N$11/1024/1024/1024/$I$13)($F$10, $Q$2,B47)</f>
      </c>
      <c r="R47" s="11">
        <f>_xlfn.LAMBDA(m,n,k, 2*m*n*k*1000*1000/$N$9/1024/1024/1024/1024/$I$10)(B47*$S$2/$F$12,$Q$8*2,$Q$2)</f>
      </c>
      <c r="S47" s="11">
        <f>_xlfn.LAMBDA(m,n,k, 2*m*n*k*1000*1000/$N$9/1024/1024/1024/1024/$I$10)(B47*$S$2/$F$12,$Q$2,$Q$8)</f>
      </c>
      <c r="T47" s="11">
        <v>0</v>
      </c>
      <c r="U47" s="11">
        <f>CEILING($Q$9/$F$11)*SUM(I47:T47)/1000</f>
      </c>
      <c r="V47" s="11">
        <f>H47*$C$6</f>
      </c>
      <c r="W47" s="2"/>
      <c r="X47" s="2"/>
      <c r="Y47" s="2"/>
      <c r="Z47" s="2"/>
      <c r="AA47" s="2"/>
      <c r="AB47" s="2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J47" s="2"/>
      <c r="BK47" s="2"/>
      <c r="BL47" s="2"/>
      <c r="BM47" s="2"/>
      <c r="BN47" s="2"/>
      <c r="BO47" s="2"/>
      <c r="BP47" s="2"/>
      <c r="BQ47" s="2"/>
      <c r="BR47" s="2"/>
      <c r="BS47" s="2"/>
    </row>
    <row r="48">
      <c r="A48" s="1">
        <v>10240</v>
      </c>
      <c r="B48" s="1">
        <v>1024</v>
      </c>
      <c r="C48" s="1">
        <f>B48*$F$10</f>
      </c>
      <c r="D48" s="39">
        <f>CEILING(A48/B48)*U48+($F$11-1)*U48</f>
      </c>
      <c r="E48" s="11">
        <v>0.7</v>
      </c>
      <c r="F48" s="39">
        <f>B48/(U48/1000)/$F$9/(1-$C$7)</f>
      </c>
      <c r="G48" s="38">
        <f>F48*E48</f>
      </c>
      <c r="H48" s="11">
        <f>1000000*$N$15/24/60/60/F48</f>
      </c>
      <c r="I48" s="12">
        <f>_xlfn.LAMBDA(m,n,k, 2*m*n*k*1000*1000/$N$2/1024/1024/1024/1024/$I$9)(B48,$Q$10,$Q$2)</f>
      </c>
      <c r="J48" s="12">
        <f>_xlfn.LAMBDA(m,n,k, 2*m*n*k*1000*1000/$N$9/1024/1024/1024/1024/$I$9)(B48, $Q$3*(128+64)/$F$10, $Q$10)</f>
      </c>
      <c r="K48" s="11">
        <f>_xlfn.LAMBDA(m,n,k, 2*m*n*k*1000*1000/$N$9/1024/1024/1024/1024/$I$9)(B48,$Q$6,$Q$2)</f>
      </c>
      <c r="L48" s="11">
        <f>_xlfn.LAMBDA(b, m,n,k, 2*b*m*n*k*1000*1000/$N$14/1024/1024/1024/1024/$I$9)($Q$3, B48, 128, $Q$7)</f>
      </c>
      <c r="M48" s="11">
        <f>_xlfn.LAMBDA(seq_len, q_len, bs, seq_len^2 / 2 * 2 *$Q$3/$F$10*($Q$6 + $Q$7)*1000*1000/1000/1000/1000/1000/$N$12/$K$13/(A48/B48))(A48, A48,B48)</f>
      </c>
      <c r="N48" s="11">
        <f>_xlfn.LAMBDA(b, m,n,k, 2*b*m*n*k*1000*1000/$N$14/1024/1024/1024/1024/$I$9)($Q$3,B48, 128, $Q$7)</f>
      </c>
      <c r="O48" s="11">
        <f>_xlfn.LAMBDA(m,n,k, 2*m*n*k*1000*1000/$N$9/1024/1024/1024/1024/$I$9)(B48, $Q$3*128/$F$10, $Q$2)</f>
      </c>
      <c r="P48" s="11">
        <v>1000</v>
      </c>
      <c r="Q48" s="11">
        <f>_xlfn.LAMBDA(tp_size, hidden_size, batch_size, 2*batch_size*(tp_size-1)/tp_size*hidden_size*1000*1000/$N$11/1024/1024/1024/$I$13)($F$10, $Q$2,B48)</f>
      </c>
      <c r="R48" s="11">
        <f>_xlfn.LAMBDA(m,n,k, 2*m*n*k*1000*1000/$N$9/1024/1024/1024/1024/$I$10)(B48*$S$2/$F$12,$Q$8*2,$Q$2)</f>
      </c>
      <c r="S48" s="11">
        <f>_xlfn.LAMBDA(m,n,k, 2*m*n*k*1000*1000/$N$9/1024/1024/1024/1024/$I$10)(B48*$S$2/$F$12,$Q$2,$Q$8)</f>
      </c>
      <c r="T48" s="11">
        <v>0</v>
      </c>
      <c r="U48" s="11">
        <f>CEILING($Q$9/$F$11)*SUM(I48:T48)/1000</f>
      </c>
      <c r="V48" s="11">
        <f>H48*$C$6</f>
      </c>
      <c r="W48" s="2"/>
      <c r="X48" s="2"/>
      <c r="Y48" s="2"/>
      <c r="Z48" s="2"/>
      <c r="AA48" s="2"/>
      <c r="AB48" s="2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J48" s="2"/>
      <c r="BK48" s="2"/>
      <c r="BL48" s="2"/>
      <c r="BM48" s="2"/>
      <c r="BN48" s="2"/>
      <c r="BO48" s="2"/>
      <c r="BP48" s="2"/>
      <c r="BQ48" s="2"/>
      <c r="BR48" s="2"/>
      <c r="BS48" s="2"/>
    </row>
    <row r="49">
      <c r="A49" s="1">
        <v>16384</v>
      </c>
      <c r="B49" s="1">
        <v>1024</v>
      </c>
      <c r="C49" s="1">
        <f>B49*$F$10</f>
      </c>
      <c r="D49" s="11">
        <f>CEILING(A49/B49)*U49+($F$11-1)*U49</f>
      </c>
      <c r="E49" s="11">
        <v>0.7</v>
      </c>
      <c r="F49" s="11">
        <f>B49/(U49/1000)/$F$9/(1-$C$7)</f>
      </c>
      <c r="G49" s="38">
        <f>F49*E49</f>
      </c>
      <c r="H49" s="11">
        <f>1000000*$N$15/24/60/60/F49</f>
      </c>
      <c r="I49" s="12">
        <f>_xlfn.LAMBDA(m,n,k, 2*m*n*k*1000*1000/$N$2/1024/1024/1024/1024/$I$9)(B49,$Q$10,$Q$2)</f>
      </c>
      <c r="J49" s="12">
        <f>_xlfn.LAMBDA(m,n,k, 2*m*n*k*1000*1000/$N$9/1024/1024/1024/1024/$I$9)(B49, $Q$3*(128+64)/$F$10, $Q$10)</f>
      </c>
      <c r="K49" s="11">
        <f>_xlfn.LAMBDA(m,n,k, 2*m*n*k*1000*1000/$N$9/1024/1024/1024/1024/$I$9)(B49,$Q$6,$Q$2)</f>
      </c>
      <c r="L49" s="11">
        <f>_xlfn.LAMBDA(b, m,n,k, 2*b*m*n*k*1000*1000/$N$14/1024/1024/1024/1024/$I$9)($Q$3, B49, 128, $Q$7)</f>
      </c>
      <c r="M49" s="11">
        <f>_xlfn.LAMBDA(seq_len, q_len, bs, seq_len^2 / 2 * 2 *$Q$3/$F$10*($Q$6 + $Q$7)*1000*1000/1000/1000/1000/1000/$N$12/$K$13/(A49/B49))(A49, A49,B49)</f>
      </c>
      <c r="N49" s="11">
        <f>_xlfn.LAMBDA(b, m,n,k, 2*b*m*n*k*1000*1000/$N$14/1024/1024/1024/1024/$I$9)($Q$3,B49, 128, $Q$7)</f>
      </c>
      <c r="O49" s="11">
        <f>_xlfn.LAMBDA(m,n,k, 2*m*n*k*1000*1000/$N$9/1024/1024/1024/1024/$I$9)(B49, $Q$3*128/$F$10, $Q$2)</f>
      </c>
      <c r="P49" s="11">
        <v>1000</v>
      </c>
      <c r="Q49" s="11">
        <f>_xlfn.LAMBDA(tp_size, hidden_size, batch_size, 2*batch_size*(tp_size-1)/tp_size*hidden_size*1000*1000/$N$11/1024/1024/1024/$I$13)($F$10, $Q$2,B49)</f>
      </c>
      <c r="R49" s="11">
        <f>_xlfn.LAMBDA(m,n,k, 2*m*n*k*1000*1000/$N$9/1024/1024/1024/1024/$I$10)(B49*$S$2/$F$12,$Q$8*2,$Q$2)</f>
      </c>
      <c r="S49" s="11">
        <f>_xlfn.LAMBDA(m,n,k, 2*m*n*k*1000*1000/$N$9/1024/1024/1024/1024/$I$10)(B49*$S$2/$F$12,$Q$2,$Q$8)</f>
      </c>
      <c r="T49" s="11">
        <v>0</v>
      </c>
      <c r="U49" s="11">
        <f>CEILING($Q$9/$F$11)*SUM(I49:T49)/1000</f>
      </c>
      <c r="V49" s="11">
        <f>H49*$C$6</f>
      </c>
      <c r="W49" s="2"/>
      <c r="X49" s="2"/>
      <c r="Y49" s="2"/>
      <c r="Z49" s="2"/>
      <c r="AA49" s="2"/>
      <c r="AB49" s="2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J49" s="2"/>
      <c r="BK49" s="2"/>
      <c r="BL49" s="2"/>
      <c r="BM49" s="2"/>
      <c r="BN49" s="2"/>
      <c r="BO49" s="2"/>
      <c r="BP49" s="2"/>
      <c r="BQ49" s="2"/>
      <c r="BR49" s="2"/>
      <c r="BS49" s="2"/>
    </row>
    <row r="50">
      <c r="A50" s="1">
        <f>20*1024</f>
      </c>
      <c r="B50" s="1">
        <v>1024</v>
      </c>
      <c r="C50" s="1">
        <f>B50*$F$10</f>
      </c>
      <c r="D50" s="11">
        <f>CEILING(A50/B50)*U50+($F$11-1)*U50</f>
      </c>
      <c r="E50" s="11">
        <v>0.7</v>
      </c>
      <c r="F50" s="11">
        <f>B50/(U50/1000)/$F$9/(1-$C$7)</f>
      </c>
      <c r="G50" s="38">
        <f>F50*E50</f>
      </c>
      <c r="H50" s="11">
        <f>1000000*$N$15/24/60/60/F50</f>
      </c>
      <c r="I50" s="12">
        <f>_xlfn.LAMBDA(m,n,k, 2*m*n*k*1000*1000/$N$2/1024/1024/1024/1024/$I$9)(B50,$Q$10,$Q$2)</f>
      </c>
      <c r="J50" s="12">
        <f>_xlfn.LAMBDA(m,n,k, 2*m*n*k*1000*1000/$N$9/1024/1024/1024/1024/$I$9)(B50, $Q$3*(128+64)/$F$10, $Q$10)</f>
      </c>
      <c r="K50" s="11">
        <f>_xlfn.LAMBDA(m,n,k, 2*m*n*k*1000*1000/$N$9/1024/1024/1024/1024/$I$9)(B50,$Q$6,$Q$2)</f>
      </c>
      <c r="L50" s="11">
        <f>_xlfn.LAMBDA(b, m,n,k, 2*b*m*n*k*1000*1000/$N$14/1024/1024/1024/1024/$I$9)($Q$3, B50, 128, $Q$7)</f>
      </c>
      <c r="M50" s="11">
        <f>_xlfn.LAMBDA(seq_len, q_len, bs, seq_len^2 / 2 * 2 *$Q$3/$F$10*($Q$6 + $Q$7)*1000*1000/1000/1000/1000/1000/$N$12/$K$13/(A50/B50))(A50, A50,B50)</f>
      </c>
      <c r="N50" s="11">
        <f>_xlfn.LAMBDA(b, m,n,k, 2*b*m*n*k*1000*1000/$N$14/1024/1024/1024/1024/$I$9)($Q$3,B50, 128, $Q$7)</f>
      </c>
      <c r="O50" s="11">
        <f>_xlfn.LAMBDA(m,n,k, 2*m*n*k*1000*1000/$N$9/1024/1024/1024/1024/$I$9)(B50, $Q$3*128/$F$10, $Q$2)</f>
      </c>
      <c r="P50" s="11">
        <v>1000</v>
      </c>
      <c r="Q50" s="11">
        <f>_xlfn.LAMBDA(tp_size, hidden_size, batch_size, 2*batch_size*(tp_size-1)/tp_size*hidden_size*1000*1000/$N$11/1024/1024/1024/$I$13)($F$10, $Q$2,B50)</f>
      </c>
      <c r="R50" s="11">
        <f>_xlfn.LAMBDA(m,n,k, 2*m*n*k*1000*1000/$N$9/1024/1024/1024/1024/$I$10)(B50*$S$2/$F$12,$Q$8*2,$Q$2)</f>
      </c>
      <c r="S50" s="11">
        <f>_xlfn.LAMBDA(m,n,k, 2*m*n*k*1000*1000/$N$9/1024/1024/1024/1024/$I$10)(B50*$S$2/$F$12,$Q$2,$Q$8)</f>
      </c>
      <c r="T50" s="11">
        <v>0</v>
      </c>
      <c r="U50" s="11">
        <f>CEILING($Q$9/$F$11)*SUM(I50:T50)/1000</f>
      </c>
      <c r="V50" s="11">
        <f>H50*$C$6</f>
      </c>
      <c r="W50" s="2"/>
      <c r="X50" s="2"/>
      <c r="Y50" s="2"/>
      <c r="Z50" s="2"/>
      <c r="AA50" s="2"/>
      <c r="AB50" s="2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J50" s="2"/>
      <c r="BK50" s="2"/>
      <c r="BL50" s="2"/>
      <c r="BM50" s="2"/>
      <c r="BN50" s="2"/>
      <c r="BO50" s="2"/>
      <c r="BP50" s="2"/>
      <c r="BQ50" s="2"/>
      <c r="BR50" s="2"/>
      <c r="BS50" s="2"/>
    </row>
    <row r="51">
      <c r="A51" s="1">
        <f>32*1024</f>
      </c>
      <c r="B51" s="1">
        <v>1024</v>
      </c>
      <c r="C51" s="1">
        <f>B51*$F$10</f>
      </c>
      <c r="D51" s="11">
        <f>CEILING(A51/B51)*U51+($F$11-1)*U51</f>
      </c>
      <c r="E51" s="11">
        <v>0.7</v>
      </c>
      <c r="F51" s="11">
        <f>B51/(U51/1000)/$F$9/(1-$C$7)</f>
      </c>
      <c r="G51" s="38">
        <f>F51*E51</f>
      </c>
      <c r="H51" s="11">
        <f>1000000*$N$15/24/60/60/F51</f>
      </c>
      <c r="I51" s="12">
        <f>_xlfn.LAMBDA(m,n,k, 2*m*n*k*1000*1000/$N$2/1024/1024/1024/1024/$I$9)(B51,$Q$10,$Q$2)</f>
      </c>
      <c r="J51" s="12">
        <f>_xlfn.LAMBDA(m,n,k, 2*m*n*k*1000*1000/$N$9/1024/1024/1024/1024/$I$9)(B51, $Q$3*(128+64)/$F$10, $Q$10)</f>
      </c>
      <c r="K51" s="11">
        <f>_xlfn.LAMBDA(m,n,k, 2*m*n*k*1000*1000/$N$9/1024/1024/1024/1024/$I$9)(B51,$Q$6,$Q$2)</f>
      </c>
      <c r="L51" s="11">
        <f>_xlfn.LAMBDA(b, m,n,k, 2*b*m*n*k*1000*1000/$N$14/1024/1024/1024/1024/$I$9)($Q$3, B51, 128, $Q$7)</f>
      </c>
      <c r="M51" s="11">
        <f>_xlfn.LAMBDA(seq_len, q_len, bs, seq_len^2 / 2 * 2 *$Q$3/$F$10*($Q$6 + $Q$7)*1000*1000/1000/1000/1000/1000/$N$12/$K$13/(A51/B51))(A51, A51,B51)</f>
      </c>
      <c r="N51" s="11">
        <f>_xlfn.LAMBDA(b, m,n,k, 2*b*m*n*k*1000*1000/$N$14/1024/1024/1024/1024/$I$9)($Q$3,B51, 128, $Q$7)</f>
      </c>
      <c r="O51" s="11">
        <f>_xlfn.LAMBDA(m,n,k, 2*m*n*k*1000*1000/$N$9/1024/1024/1024/1024/$I$9)(B51, $Q$3*128/$F$10, $Q$2)</f>
      </c>
      <c r="P51" s="11">
        <v>1000</v>
      </c>
      <c r="Q51" s="11">
        <f>_xlfn.LAMBDA(tp_size, hidden_size, batch_size, 2*batch_size*(tp_size-1)/tp_size*hidden_size*1000*1000/$N$11/1024/1024/1024/$I$13)($F$10, $Q$2,B51)</f>
      </c>
      <c r="R51" s="11">
        <f>_xlfn.LAMBDA(m,n,k, 2*m*n*k*1000*1000/$N$9/1024/1024/1024/1024/$I$10)(B51*$S$2/$F$12,$Q$8*2,$Q$2)</f>
      </c>
      <c r="S51" s="11">
        <f>_xlfn.LAMBDA(m,n,k, 2*m*n*k*1000*1000/$N$9/1024/1024/1024/1024/$I$10)(B51*$S$2/$F$12,$Q$2,$Q$8)</f>
      </c>
      <c r="T51" s="11">
        <v>0</v>
      </c>
      <c r="U51" s="11">
        <f>CEILING($Q$9/$F$11)*SUM(I51:T51)/1000</f>
      </c>
      <c r="V51" s="11">
        <f>H51*$C$6</f>
      </c>
      <c r="W51" s="2"/>
      <c r="X51" s="2"/>
      <c r="Y51" s="2"/>
      <c r="Z51" s="2"/>
      <c r="AA51" s="2"/>
      <c r="AB51" s="2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J51" s="2"/>
      <c r="BK51" s="2"/>
      <c r="BL51" s="2"/>
      <c r="BM51" s="2"/>
      <c r="BN51" s="2"/>
      <c r="BO51" s="2"/>
      <c r="BP51" s="2"/>
      <c r="BQ51" s="2"/>
      <c r="BR51" s="2"/>
      <c r="BS51" s="2"/>
    </row>
    <row r="52">
      <c r="A52" s="1">
        <f>50*1024</f>
      </c>
      <c r="B52" s="1">
        <v>1024</v>
      </c>
      <c r="C52" s="1">
        <f>B52*$F$10</f>
      </c>
      <c r="D52" s="11">
        <f>CEILING(A52/B52)*U52+($F$11-1)*U52</f>
      </c>
      <c r="E52" s="11">
        <v>0.7</v>
      </c>
      <c r="F52" s="11">
        <f>B52/(U52/1000)/$F$9/(1-$C$7)</f>
      </c>
      <c r="G52" s="38">
        <f>F52*E52</f>
      </c>
      <c r="H52" s="11">
        <f>1000000*$N$15/24/60/60/F52</f>
      </c>
      <c r="I52" s="12">
        <f>_xlfn.LAMBDA(m,n,k, 2*m*n*k*1000*1000/$N$2/1024/1024/1024/1024/$I$9)(B52,$Q$10,$Q$2)</f>
      </c>
      <c r="J52" s="12">
        <f>_xlfn.LAMBDA(m,n,k, 2*m*n*k*1000*1000/$N$9/1024/1024/1024/1024/$I$9)(B52, $Q$3*(128+64)/$F$10, $Q$10)</f>
      </c>
      <c r="K52" s="11">
        <f>_xlfn.LAMBDA(m,n,k, 2*m*n*k*1000*1000/$N$9/1024/1024/1024/1024/$I$9)(B52,$Q$6,$Q$2)</f>
      </c>
      <c r="L52" s="11">
        <f>_xlfn.LAMBDA(b, m,n,k, 2*b*m*n*k*1000*1000/$N$14/1024/1024/1024/1024/$I$9)($Q$3, B52, 128, $Q$7)</f>
      </c>
      <c r="M52" s="11">
        <f>_xlfn.LAMBDA(seq_len, q_len, bs, seq_len^2 / 2 * 2 *$Q$3/$F$10*($Q$6 + $Q$7)*1000*1000/1000/1000/1000/1000/$N$12/$K$13/(A52/B52))(A52, A52,B52)</f>
      </c>
      <c r="N52" s="11">
        <f>_xlfn.LAMBDA(b, m,n,k, 2*b*m*n*k*1000*1000/$N$14/1024/1024/1024/1024/$I$9)($Q$3,B52, 128, $Q$7)</f>
      </c>
      <c r="O52" s="11">
        <f>_xlfn.LAMBDA(m,n,k, 2*m*n*k*1000*1000/$N$9/1024/1024/1024/1024/$I$9)(B52, $Q$3*128/$F$10, $Q$2)</f>
      </c>
      <c r="P52" s="11">
        <v>1000</v>
      </c>
      <c r="Q52" s="11">
        <f>_xlfn.LAMBDA(tp_size, hidden_size, batch_size, 2*batch_size*(tp_size-1)/tp_size*hidden_size*1000*1000/$N$11/1024/1024/1024/$I$13)($F$10, $Q$2,B52)</f>
      </c>
      <c r="R52" s="11">
        <f>_xlfn.LAMBDA(m,n,k, 2*m*n*k*1000*1000/$N$9/1024/1024/1024/1024/$I$10)(B52*$S$2/$F$12,$Q$8*2,$Q$2)</f>
      </c>
      <c r="S52" s="11">
        <f>_xlfn.LAMBDA(m,n,k, 2*m*n*k*1000*1000/$N$9/1024/1024/1024/1024/$I$10)(B52*$S$2/$F$12,$Q$2,$Q$8)</f>
      </c>
      <c r="T52" s="11">
        <v>0</v>
      </c>
      <c r="U52" s="11">
        <f>CEILING($Q$9/$F$11)*SUM(I52:T52)/1000</f>
      </c>
      <c r="V52" s="11">
        <f>H52*$C$6</f>
      </c>
      <c r="W52" s="2"/>
      <c r="X52" s="2"/>
      <c r="Y52" s="2"/>
      <c r="Z52" s="2"/>
      <c r="AA52" s="2"/>
      <c r="AB52" s="2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J52" s="2"/>
      <c r="BK52" s="2"/>
      <c r="BL52" s="2"/>
      <c r="BM52" s="2"/>
      <c r="BN52" s="2"/>
      <c r="BO52" s="2"/>
      <c r="BP52" s="2"/>
      <c r="BQ52" s="2"/>
      <c r="BR52" s="2"/>
      <c r="BS52" s="2"/>
    </row>
    <row r="53">
      <c r="A53" s="1">
        <f>64*1024</f>
      </c>
      <c r="B53" s="1">
        <v>1024</v>
      </c>
      <c r="C53" s="1">
        <f>B53*$F$10</f>
      </c>
      <c r="D53" s="11">
        <f>CEILING(A53/B53)*U53+($F$11-1)*U53</f>
      </c>
      <c r="E53" s="11">
        <v>0.7</v>
      </c>
      <c r="F53" s="11">
        <f>B53/(U53/1000)/$F$9/(1-$C$7)</f>
      </c>
      <c r="G53" s="38">
        <f>F53*E53</f>
      </c>
      <c r="H53" s="11">
        <f>1000000*$N$15/24/60/60/F53</f>
      </c>
      <c r="I53" s="12">
        <f>_xlfn.LAMBDA(m,n,k, 2*m*n*k*1000*1000/$N$2/1024/1024/1024/1024/$I$9)(B53,$Q$10,$Q$2)</f>
      </c>
      <c r="J53" s="12">
        <f>_xlfn.LAMBDA(m,n,k, 2*m*n*k*1000*1000/$N$9/1024/1024/1024/1024/$I$9)(B53, $Q$3*(128+64)/$F$10, $Q$10)</f>
      </c>
      <c r="K53" s="11">
        <f>_xlfn.LAMBDA(m,n,k, 2*m*n*k*1000*1000/$N$9/1024/1024/1024/1024/$I$9)(B53,$Q$6,$Q$2)</f>
      </c>
      <c r="L53" s="11">
        <f>_xlfn.LAMBDA(b, m,n,k, 2*b*m*n*k*1000*1000/$N$14/1024/1024/1024/1024/$I$9)($Q$3, B53, 128, $Q$7)</f>
      </c>
      <c r="M53" s="11">
        <f>_xlfn.LAMBDA(seq_len, q_len, bs, seq_len^2 / 2 * 2 *$Q$3/$F$10*($Q$6 + $Q$7)*1000*1000/1000/1000/1000/1000/$N$12/$K$13/(A53/B53))(A53, A53,B53)</f>
      </c>
      <c r="N53" s="11">
        <f>_xlfn.LAMBDA(b, m,n,k, 2*b*m*n*k*1000*1000/$N$14/1024/1024/1024/1024/$I$9)($Q$3,B53, 128, $Q$7)</f>
      </c>
      <c r="O53" s="11">
        <f>_xlfn.LAMBDA(m,n,k, 2*m*n*k*1000*1000/$N$9/1024/1024/1024/1024/$I$9)(B53, $Q$3*128/$F$10, $Q$2)</f>
      </c>
      <c r="P53" s="11">
        <v>1000</v>
      </c>
      <c r="Q53" s="11">
        <f>_xlfn.LAMBDA(tp_size, hidden_size, batch_size, 2*batch_size*(tp_size-1)/tp_size*hidden_size*1000*1000/$N$11/1024/1024/1024/$I$13)($F$10, $Q$2,B53)</f>
      </c>
      <c r="R53" s="11">
        <f>_xlfn.LAMBDA(m,n,k, 2*m*n*k*1000*1000/$N$9/1024/1024/1024/1024/$I$10)(B53*$S$2/$F$12,$Q$8*2,$Q$2)</f>
      </c>
      <c r="S53" s="11">
        <f>_xlfn.LAMBDA(m,n,k, 2*m*n*k*1000*1000/$N$9/1024/1024/1024/1024/$I$10)(B53*$S$2/$F$12,$Q$2,$Q$8)</f>
      </c>
      <c r="T53" s="11">
        <v>0</v>
      </c>
      <c r="U53" s="11">
        <f>CEILING($Q$9/$F$11)*SUM(I53:T53)/1000</f>
      </c>
      <c r="V53" s="11">
        <f>H53*$C$6</f>
      </c>
      <c r="W53" s="2"/>
      <c r="X53" s="2"/>
      <c r="Y53" s="2"/>
      <c r="Z53" s="2"/>
      <c r="AA53" s="2"/>
      <c r="AB53" s="2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J53" s="2"/>
      <c r="BK53" s="2"/>
      <c r="BL53" s="2"/>
      <c r="BM53" s="2"/>
      <c r="BN53" s="2"/>
      <c r="BO53" s="2"/>
      <c r="BP53" s="2"/>
      <c r="BQ53" s="2"/>
      <c r="BR53" s="2"/>
      <c r="BS53" s="2"/>
    </row>
    <row r="54">
      <c r="A54" s="1">
        <f>96*1024</f>
      </c>
      <c r="B54" s="1">
        <v>1024</v>
      </c>
      <c r="C54" s="1">
        <f>B54*$F$10</f>
      </c>
      <c r="D54" s="11">
        <f>CEILING(A54/B54)*U54+($F$11-1)*U54</f>
      </c>
      <c r="E54" s="11">
        <v>0.7</v>
      </c>
      <c r="F54" s="11">
        <f>B54/(U54/1000)/$F$9/(1-$C$7)</f>
      </c>
      <c r="G54" s="38">
        <f>F54*E54</f>
      </c>
      <c r="H54" s="11">
        <f>1000000*$N$15/24/60/60/F54</f>
      </c>
      <c r="I54" s="12">
        <f>_xlfn.LAMBDA(m,n,k, 2*m*n*k*1000*1000/$N$2/1024/1024/1024/1024/$I$9)(B54,$Q$10,$Q$2)</f>
      </c>
      <c r="J54" s="12">
        <f>_xlfn.LAMBDA(m,n,k, 2*m*n*k*1000*1000/$N$9/1024/1024/1024/1024/$I$9)(B54, $Q$3*(128+64)/$F$10, $Q$10)</f>
      </c>
      <c r="K54" s="11">
        <f>_xlfn.LAMBDA(m,n,k, 2*m*n*k*1000*1000/$N$9/1024/1024/1024/1024/$I$9)(B54,$Q$6,$Q$2)</f>
      </c>
      <c r="L54" s="11">
        <f>_xlfn.LAMBDA(b, m,n,k, 2*b*m*n*k*1000*1000/$N$14/1024/1024/1024/1024/$I$9)($Q$3, B54, 128, $Q$7)</f>
      </c>
      <c r="M54" s="11">
        <f>_xlfn.LAMBDA(seq_len, q_len, bs, seq_len^2 / 2 * 2 *$Q$3/$F$10*($Q$6 + $Q$7)*1000*1000/1000/1000/1000/1000/$N$12/$K$13/(A54/B54))(A54, A54,B54)</f>
      </c>
      <c r="N54" s="11">
        <f>_xlfn.LAMBDA(b, m,n,k, 2*b*m*n*k*1000*1000/$N$14/1024/1024/1024/1024/$I$9)($Q$3,B54, 128, $Q$7)</f>
      </c>
      <c r="O54" s="11">
        <f>_xlfn.LAMBDA(m,n,k, 2*m*n*k*1000*1000/$N$9/1024/1024/1024/1024/$I$9)(B54, $Q$3*128/$F$10, $Q$2)</f>
      </c>
      <c r="P54" s="11">
        <v>1000</v>
      </c>
      <c r="Q54" s="11">
        <f>_xlfn.LAMBDA(tp_size, hidden_size, batch_size, 2*batch_size*(tp_size-1)/tp_size*hidden_size*1000*1000/$N$11/1024/1024/1024/$I$13)($F$10, $Q$2,B54)</f>
      </c>
      <c r="R54" s="11">
        <f>_xlfn.LAMBDA(m,n,k, 2*m*n*k*1000*1000/$N$9/1024/1024/1024/1024/$I$10)(B54*$S$2/$F$12,$Q$8*2,$Q$2)</f>
      </c>
      <c r="S54" s="11">
        <f>_xlfn.LAMBDA(m,n,k, 2*m*n*k*1000*1000/$N$9/1024/1024/1024/1024/$I$10)(B54*$S$2/$F$12,$Q$2,$Q$8)</f>
      </c>
      <c r="T54" s="11">
        <v>0</v>
      </c>
      <c r="U54" s="11">
        <f>CEILING($Q$9/$F$11)*SUM(I54:T54)/1000</f>
      </c>
      <c r="V54" s="11">
        <f>H54*$C$6</f>
      </c>
      <c r="W54" s="2"/>
      <c r="X54" s="2"/>
      <c r="Y54" s="2"/>
      <c r="Z54" s="2"/>
      <c r="AA54" s="2"/>
      <c r="AB54" s="2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J54" s="2"/>
      <c r="BK54" s="2"/>
      <c r="BL54" s="2"/>
      <c r="BM54" s="2"/>
      <c r="BN54" s="2"/>
      <c r="BO54" s="2"/>
      <c r="BP54" s="2"/>
      <c r="BQ54" s="2"/>
      <c r="BR54" s="2"/>
      <c r="BS54" s="2"/>
    </row>
    <row r="55">
      <c r="A55" s="1">
        <f>128*1024</f>
      </c>
      <c r="B55" s="1">
        <v>1024</v>
      </c>
      <c r="C55" s="1">
        <f>B55*$F$10</f>
      </c>
      <c r="D55" s="11">
        <f>CEILING(A55/B55)*U55+($F$11-1)*U55</f>
      </c>
      <c r="E55" s="11">
        <v>0.7</v>
      </c>
      <c r="F55" s="11">
        <f>B55/(U55/1000)/$F$9/(1-$C$7)</f>
      </c>
      <c r="G55" s="38">
        <f>F55*E55</f>
      </c>
      <c r="H55" s="11">
        <f>1000000*$N$15/24/60/60/F55</f>
      </c>
      <c r="I55" s="12">
        <f>_xlfn.LAMBDA(m,n,k, 2*m*n*k*1000*1000/$N$2/1024/1024/1024/1024/$I$9)(B55,$Q$10,$Q$2)</f>
      </c>
      <c r="J55" s="12">
        <f>_xlfn.LAMBDA(m,n,k, 2*m*n*k*1000*1000/$N$9/1024/1024/1024/1024/$I$9)(B55, $Q$3*(128+64)/$F$10, $Q$10)</f>
      </c>
      <c r="K55" s="11">
        <f>_xlfn.LAMBDA(m,n,k, 2*m*n*k*1000*1000/$N$9/1024/1024/1024/1024/$I$9)(B55,$Q$6,$Q$2)</f>
      </c>
      <c r="L55" s="11">
        <f>_xlfn.LAMBDA(b, m,n,k, 2*b*m*n*k*1000*1000/$N$14/1024/1024/1024/1024/$I$9)($Q$3, B55, 128, $Q$7)</f>
      </c>
      <c r="M55" s="11">
        <f>_xlfn.LAMBDA(seq_len, q_len, bs, seq_len^2 / 2 * 2 *$Q$3/$F$10*($Q$6 + $Q$7)*1000*1000/1000/1000/1000/1000/$N$12/$K$13/(A55/B55))(A55, A55,B55)</f>
      </c>
      <c r="N55" s="11">
        <f>_xlfn.LAMBDA(b, m,n,k, 2*b*m*n*k*1000*1000/$N$14/1024/1024/1024/1024/$I$9)($Q$3,B55, 128, $Q$7)</f>
      </c>
      <c r="O55" s="11">
        <f>_xlfn.LAMBDA(m,n,k, 2*m*n*k*1000*1000/$N$9/1024/1024/1024/1024/$I$9)(B55, $Q$3*128/$F$10, $Q$2)</f>
      </c>
      <c r="P55" s="11">
        <v>1000</v>
      </c>
      <c r="Q55" s="11">
        <f>_xlfn.LAMBDA(tp_size, hidden_size, batch_size, 2*batch_size*(tp_size-1)/tp_size*hidden_size*1000*1000/$N$11/1024/1024/1024/$I$13)($F$10, $Q$2,B55)</f>
      </c>
      <c r="R55" s="11">
        <f>_xlfn.LAMBDA(m,n,k, 2*m*n*k*1000*1000/$N$9/1024/1024/1024/1024/$I$10)(B55*$S$2/$F$12,$Q$8*2,$Q$2)</f>
      </c>
      <c r="S55" s="11">
        <f>_xlfn.LAMBDA(m,n,k, 2*m*n*k*1000*1000/$N$9/1024/1024/1024/1024/$I$10)(B55*$S$2/$F$12,$Q$2,$Q$8)</f>
      </c>
      <c r="T55" s="11">
        <v>0</v>
      </c>
      <c r="U55" s="11">
        <f>CEILING($Q$9/$F$11)*SUM(I55:T55)/1000</f>
      </c>
      <c r="V55" s="11">
        <f>H55*$C$6</f>
      </c>
      <c r="W55" s="2"/>
      <c r="X55" s="2"/>
      <c r="Y55" s="2"/>
      <c r="Z55" s="2"/>
      <c r="AA55" s="2"/>
      <c r="AB55" s="2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J55" s="2"/>
      <c r="BK55" s="2"/>
      <c r="BL55" s="2"/>
      <c r="BM55" s="2"/>
      <c r="BN55" s="2"/>
      <c r="BO55" s="2"/>
      <c r="BP55" s="2"/>
      <c r="BQ55" s="2"/>
      <c r="BR55" s="2"/>
      <c r="BS55" s="2"/>
    </row>
    <row r="56">
      <c r="A56" s="1">
        <f>192*1024</f>
      </c>
      <c r="B56" s="1">
        <v>1024</v>
      </c>
      <c r="C56" s="1">
        <f>B56*$F$10</f>
      </c>
      <c r="D56" s="11">
        <f>CEILING(A56/B56)*U56+($F$11-1)*U56</f>
      </c>
      <c r="E56" s="11">
        <v>0.7</v>
      </c>
      <c r="F56" s="11">
        <f>B56/(U56/1000)/$F$9/(1-$C$7)</f>
      </c>
      <c r="G56" s="38">
        <f>F56*E56</f>
      </c>
      <c r="H56" s="11">
        <f>1000000*$N$15/24/60/60/F56</f>
      </c>
      <c r="I56" s="12">
        <f>_xlfn.LAMBDA(m,n,k, 2*m*n*k*1000*1000/$N$2/1024/1024/1024/1024/$I$9)(B56,$Q$10,$Q$2)</f>
      </c>
      <c r="J56" s="12">
        <f>_xlfn.LAMBDA(m,n,k, 2*m*n*k*1000*1000/$N$9/1024/1024/1024/1024/$I$9)(B56, $Q$3*(128+64)/$F$10, $Q$10)</f>
      </c>
      <c r="K56" s="11">
        <f>_xlfn.LAMBDA(m,n,k, 2*m*n*k*1000*1000/$N$9/1024/1024/1024/1024/$I$9)(B56,$Q$6,$Q$2)</f>
      </c>
      <c r="L56" s="11">
        <f>_xlfn.LAMBDA(b, m,n,k, 2*b*m*n*k*1000*1000/$N$14/1024/1024/1024/1024/$I$9)($Q$3, B56, 128, $Q$7)</f>
      </c>
      <c r="M56" s="11">
        <f>_xlfn.LAMBDA(seq_len, q_len, bs, seq_len^2 / 2 * 2 *$Q$3/$F$10*($Q$6 + $Q$7)*1000*1000/1000/1000/1000/1000/$N$12/$K$13/(A56/B56))(A56, A56,B56)</f>
      </c>
      <c r="N56" s="11">
        <f>_xlfn.LAMBDA(b, m,n,k, 2*b*m*n*k*1000*1000/$N$14/1024/1024/1024/1024/$I$9)($Q$3,B56, 128, $Q$7)</f>
      </c>
      <c r="O56" s="11">
        <f>_xlfn.LAMBDA(m,n,k, 2*m*n*k*1000*1000/$N$9/1024/1024/1024/1024/$I$9)(B56, $Q$3*128/$F$10, $Q$2)</f>
      </c>
      <c r="P56" s="11">
        <v>1000</v>
      </c>
      <c r="Q56" s="11">
        <f>_xlfn.LAMBDA(tp_size, hidden_size, batch_size, 2*batch_size*(tp_size-1)/tp_size*hidden_size*1000*1000/$N$11/1024/1024/1024/$I$13)($F$10, $Q$2,B56)</f>
      </c>
      <c r="R56" s="11">
        <f>_xlfn.LAMBDA(m,n,k, 2*m*n*k*1000*1000/$N$9/1024/1024/1024/1024/$I$10)(B56*$S$2/$F$12,$Q$8*2,$Q$2)</f>
      </c>
      <c r="S56" s="11">
        <f>_xlfn.LAMBDA(m,n,k, 2*m*n*k*1000*1000/$N$9/1024/1024/1024/1024/$I$10)(B56*$S$2/$F$12,$Q$2,$Q$8)</f>
      </c>
      <c r="T56" s="11">
        <v>0</v>
      </c>
      <c r="U56" s="11">
        <f>CEILING($Q$9/$F$11)*SUM(I56:T56)/1000</f>
      </c>
      <c r="V56" s="11">
        <f>H56*$C$6</f>
      </c>
      <c r="W56" s="2"/>
      <c r="X56" s="2"/>
      <c r="Y56" s="2"/>
      <c r="Z56" s="2"/>
      <c r="AA56" s="2"/>
      <c r="AB56" s="2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J56" s="2"/>
      <c r="BK56" s="2"/>
      <c r="BL56" s="2"/>
      <c r="BM56" s="2"/>
      <c r="BN56" s="2"/>
      <c r="BO56" s="2"/>
      <c r="BP56" s="2"/>
      <c r="BQ56" s="2"/>
      <c r="BR56" s="2"/>
      <c r="BS56" s="2"/>
    </row>
    <row r="57">
      <c r="A57" s="1">
        <f>256*1024</f>
      </c>
      <c r="B57" s="1">
        <v>1024</v>
      </c>
      <c r="C57" s="1">
        <f>B57*$F$10</f>
      </c>
      <c r="D57" s="11">
        <f>CEILING(A57/B57)*U57+($F$11-1)*U57</f>
      </c>
      <c r="E57" s="11">
        <v>0.7</v>
      </c>
      <c r="F57" s="11">
        <f>B57/(U57/1000)/$F$9/(1-$C$7)</f>
      </c>
      <c r="G57" s="38">
        <f>F57*E57</f>
      </c>
      <c r="H57" s="11">
        <f>1000000*$N$15/24/60/60/F57</f>
      </c>
      <c r="I57" s="12">
        <f>_xlfn.LAMBDA(m,n,k, 2*m*n*k*1000*1000/$N$2/1024/1024/1024/1024/$I$9)(B57,$Q$10,$Q$2)</f>
      </c>
      <c r="J57" s="12">
        <f>_xlfn.LAMBDA(m,n,k, 2*m*n*k*1000*1000/$N$9/1024/1024/1024/1024/$I$9)(B57, $Q$3*(128+64)/$F$10, $Q$10)</f>
      </c>
      <c r="K57" s="11">
        <f>_xlfn.LAMBDA(m,n,k, 2*m*n*k*1000*1000/$N$9/1024/1024/1024/1024/$I$9)(B57,$Q$6,$Q$2)</f>
      </c>
      <c r="L57" s="11">
        <f>_xlfn.LAMBDA(b, m,n,k, 2*b*m*n*k*1000*1000/$N$14/1024/1024/1024/1024/$I$9)($Q$3, B57, 128, $Q$7)</f>
      </c>
      <c r="M57" s="11">
        <f>_xlfn.LAMBDA(seq_len, q_len, bs, seq_len^2 / 2 * 2 *$Q$3/$F$10*($Q$6 + $Q$7)*1000*1000/1000/1000/1000/1000/$N$12/$K$13/(A57/B57))(A57, A57,B57)</f>
      </c>
      <c r="N57" s="11">
        <f>_xlfn.LAMBDA(b, m,n,k, 2*b*m*n*k*1000*1000/$N$14/1024/1024/1024/1024/$I$9)($Q$3,B57, 128, $Q$7)</f>
      </c>
      <c r="O57" s="11">
        <f>_xlfn.LAMBDA(m,n,k, 2*m*n*k*1000*1000/$N$9/1024/1024/1024/1024/$I$9)(B57, $Q$3*128/$F$10, $Q$2)</f>
      </c>
      <c r="P57" s="11">
        <v>1000</v>
      </c>
      <c r="Q57" s="11">
        <f>_xlfn.LAMBDA(tp_size, hidden_size, batch_size, 2*batch_size*(tp_size-1)/tp_size*hidden_size*1000*1000/$N$11/1024/1024/1024/$I$13)($F$10, $Q$2,B57)</f>
      </c>
      <c r="R57" s="11">
        <f>_xlfn.LAMBDA(m,n,k, 2*m*n*k*1000*1000/$N$9/1024/1024/1024/1024/$I$10)(B57*$S$2/$F$12,$Q$8*2,$Q$2)</f>
      </c>
      <c r="S57" s="11">
        <f>_xlfn.LAMBDA(m,n,k, 2*m*n*k*1000*1000/$N$9/1024/1024/1024/1024/$I$10)(B57*$S$2/$F$12,$Q$2,$Q$8)</f>
      </c>
      <c r="T57" s="11">
        <v>0</v>
      </c>
      <c r="U57" s="11">
        <f>CEILING($Q$9/$F$11)*SUM(I57:T57)/1000</f>
      </c>
      <c r="V57" s="11">
        <f>H57*$C$6</f>
      </c>
      <c r="W57" s="2"/>
      <c r="X57" s="2"/>
      <c r="Y57" s="2"/>
      <c r="Z57" s="2"/>
      <c r="AA57" s="2"/>
      <c r="AB57" s="2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J57" s="2"/>
      <c r="BK57" s="2"/>
      <c r="BL57" s="2"/>
      <c r="BM57" s="2"/>
      <c r="BN57" s="2"/>
      <c r="BO57" s="2"/>
      <c r="BP57" s="2"/>
      <c r="BQ57" s="2"/>
      <c r="BR57" s="2"/>
      <c r="BS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</row>
    <row r="62">
      <c r="A62" s="4"/>
      <c r="B62" s="4"/>
      <c r="C62" s="4"/>
      <c r="D62" s="2"/>
      <c r="E62" s="2"/>
      <c r="F62" s="2"/>
      <c r="G62" s="2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</row>
    <row r="63">
      <c r="A63" s="4"/>
      <c r="B63" s="4"/>
      <c r="C63" s="4"/>
      <c r="D63" s="2"/>
      <c r="E63" s="2"/>
      <c r="F63" s="2"/>
      <c r="G63" s="2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</row>
    <row r="64">
      <c r="A64" s="4"/>
      <c r="B64" s="4"/>
      <c r="C64" s="4"/>
      <c r="D64" s="2"/>
      <c r="E64" s="2"/>
      <c r="F64" s="2"/>
      <c r="G64" s="2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</row>
    <row r="65">
      <c r="A65" s="4"/>
      <c r="B65" s="4"/>
      <c r="C65" s="4"/>
      <c r="D65" s="2"/>
      <c r="E65" s="2"/>
      <c r="F65" s="2"/>
      <c r="G65" s="2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</row>
    <row r="66">
      <c r="A66" s="4"/>
      <c r="B66" s="4"/>
      <c r="C66" s="4"/>
      <c r="D66" s="2"/>
      <c r="E66" s="2"/>
      <c r="F66" s="2"/>
      <c r="G66" s="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</row>
    <row r="67">
      <c r="A67" s="4"/>
      <c r="B67" s="4"/>
      <c r="C67" s="4"/>
      <c r="D67" s="2"/>
      <c r="E67" s="2"/>
      <c r="F67" s="2"/>
      <c r="G67" s="2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</row>
    <row r="68">
      <c r="A68" s="4"/>
      <c r="B68" s="4"/>
      <c r="C68" s="4"/>
      <c r="D68" s="2"/>
      <c r="E68" s="2"/>
      <c r="F68" s="2"/>
      <c r="G68" s="2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</row>
    <row r="69">
      <c r="A69" s="4"/>
      <c r="B69" s="4"/>
      <c r="C69" s="4"/>
      <c r="D69" s="2"/>
      <c r="E69" s="2"/>
      <c r="F69" s="2"/>
      <c r="G69" s="2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</row>
    <row r="70">
      <c r="A70" s="4"/>
      <c r="B70" s="4"/>
      <c r="C70" s="4"/>
      <c r="D70" s="2"/>
      <c r="E70" s="2"/>
      <c r="F70" s="2"/>
      <c r="G70" s="2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</row>
    <row r="71">
      <c r="A71" s="4"/>
      <c r="B71" s="4"/>
      <c r="C71" s="4"/>
      <c r="D71" s="2"/>
      <c r="E71" s="2"/>
      <c r="F71" s="2"/>
      <c r="G71" s="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</row>
    <row r="72">
      <c r="A72" s="4"/>
      <c r="B72" s="4"/>
      <c r="C72" s="4"/>
      <c r="D72" s="2"/>
      <c r="E72" s="2"/>
      <c r="F72" s="2"/>
      <c r="G72" s="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</row>
    <row r="73">
      <c r="A73" s="4"/>
      <c r="B73" s="4"/>
      <c r="C73" s="4"/>
      <c r="D73" s="2"/>
      <c r="E73" s="2"/>
      <c r="F73" s="2"/>
      <c r="G73" s="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</row>
    <row r="74">
      <c r="A74" s="4"/>
      <c r="B74" s="4"/>
      <c r="C74" s="4"/>
      <c r="D74" s="2"/>
      <c r="E74" s="2"/>
      <c r="F74" s="2"/>
      <c r="G74" s="2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</row>
    <row r="125">
      <c r="A125" s="1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</row>
    <row r="126">
      <c r="A126" s="1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</row>
    <row r="127">
      <c r="A127" s="1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</row>
    <row r="128">
      <c r="A128" s="1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</row>
    <row r="129">
      <c r="A129" s="1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</row>
    <row r="130">
      <c r="A130" s="1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</row>
    <row r="131">
      <c r="A131" s="1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</row>
    <row r="132">
      <c r="A132" s="1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</row>
    <row r="133">
      <c r="A133" s="1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</row>
    <row r="134">
      <c r="A134" s="1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</row>
    <row r="135">
      <c r="A135" s="1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</row>
    <row r="136">
      <c r="A136" s="1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</row>
    <row r="137">
      <c r="A137" s="1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</row>
    <row r="138">
      <c r="A138" s="1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</row>
    <row r="139">
      <c r="A139" s="1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</row>
    <row r="140">
      <c r="A140" s="1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</row>
    <row r="141">
      <c r="A141" s="1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</row>
    <row r="142">
      <c r="A142" s="1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</row>
    <row r="143">
      <c r="A143" s="1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</row>
    <row r="144">
      <c r="A144" s="1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</row>
    <row r="145">
      <c r="A145" s="1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</row>
    <row r="146">
      <c r="A146" s="1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</row>
    <row r="147">
      <c r="A147" s="1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</row>
    <row r="148">
      <c r="A148" s="1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</row>
    <row r="149">
      <c r="A149" s="1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</row>
    <row r="150">
      <c r="A150" s="1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</row>
    <row r="151">
      <c r="A151" s="1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</row>
    <row r="152">
      <c r="A152" s="1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</row>
    <row r="153">
      <c r="A153" s="1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</row>
    <row r="154">
      <c r="A154" s="1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</row>
    <row r="155">
      <c r="A155" s="1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</row>
    <row r="156">
      <c r="A156" s="1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</row>
    <row r="157">
      <c r="A157" s="1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</row>
    <row r="158">
      <c r="A158" s="1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</row>
    <row r="159">
      <c r="A159" s="1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</row>
    <row r="160">
      <c r="A160" s="1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</row>
    <row r="161">
      <c r="A161" s="1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</row>
    <row r="162">
      <c r="A162" s="1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</row>
    <row r="163">
      <c r="A163" s="1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</row>
    <row r="164">
      <c r="A164" s="1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</row>
    <row r="165">
      <c r="A165" s="1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</row>
    <row r="166">
      <c r="A166" s="1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</row>
    <row r="167">
      <c r="A167" s="1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</row>
    <row r="168">
      <c r="A168" s="1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</row>
    <row r="169">
      <c r="A169" s="1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</row>
    <row r="170">
      <c r="A170" s="1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</row>
    <row r="171">
      <c r="A171" s="1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</row>
    <row r="172">
      <c r="A172" s="1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</row>
    <row r="173">
      <c r="A173" s="1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</row>
    <row r="174">
      <c r="A174" s="1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</row>
    <row r="175">
      <c r="A175" s="1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</row>
    <row r="176">
      <c r="A176" s="1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</row>
    <row r="177">
      <c r="A177" s="1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</row>
    <row r="178">
      <c r="A178" s="1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</row>
    <row r="179">
      <c r="A179" s="1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</row>
    <row r="180">
      <c r="A180" s="1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</row>
    <row r="181">
      <c r="A181" s="1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</row>
    <row r="182">
      <c r="A182" s="1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</row>
    <row r="183">
      <c r="A183" s="1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</row>
    <row r="184">
      <c r="A184" s="1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</row>
    <row r="185">
      <c r="A185" s="1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</row>
    <row r="186">
      <c r="A186" s="1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</row>
    <row r="187">
      <c r="A187" s="1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</row>
    <row r="188">
      <c r="A188" s="1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</row>
    <row r="189">
      <c r="A189" s="1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</row>
    <row r="190">
      <c r="A190" s="1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</row>
    <row r="191">
      <c r="A191" s="1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</sheetData>
  <mergeCells>
    <mergeCell ref="A1:J1"/>
    <mergeCell ref="A2:A8"/>
    <mergeCell ref="D2:D8"/>
    <mergeCell ref="G2:G8"/>
    <mergeCell ref="L2:L8"/>
    <mergeCell ref="O2:O15"/>
    <mergeCell ref="D9:D15"/>
    <mergeCell ref="G9:G15"/>
    <mergeCell ref="L9:L15"/>
    <mergeCell ref="A19:BA19"/>
    <mergeCell ref="A40:Y40"/>
  </mergeCells>
  <dataValidations count="3">
    <dataValidation allowBlank="true" errorStyle="stop" showErrorMessage="true" sqref="F3 F10" type="list">
      <formula1>"1,2,4,8"</formula1>
    </dataValidation>
    <dataValidation allowBlank="true" errorStyle="stop" showErrorMessage="true" sqref="C2" type="list">
      <formula1>"10240,5120,2048"</formula1>
    </dataValidation>
    <dataValidation allowBlank="true" errorStyle="stop" showErrorMessage="true" sqref="F2 F9" type="list">
      <formula1>"8,16,32,64"</formula1>
    </dataValidation>
  </dataValidations>
  <legacyDrawing r:id="rId1"/>
  <picture r:id="rId4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16"/>
  </cols>
  <sheetData>
    <row r="1">
      <c r="A1" s="25" t="str">
        <v>标绿的可以改，没标的不建议改，可以通过调整 Attention DP BatchSize 来控制 E2E 延迟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tr">
        <v>Workload</v>
      </c>
      <c r="B2" s="4" t="str">
        <v>AVG SEQ_LEN</v>
      </c>
      <c r="C2" s="4"/>
      <c r="D2" s="4"/>
      <c r="E2" s="2">
        <v>5120</v>
      </c>
      <c r="F2" s="24" t="str">
        <v>Decode
并行配置
Decode 默认走DP+EP</v>
      </c>
      <c r="G2" s="1" t="str">
        <v>World Size</v>
      </c>
      <c r="H2" s="25">
        <v>16</v>
      </c>
      <c r="I2" s="3" t="str">
        <v>Decode SOL</v>
      </c>
      <c r="J2" s="1" t="str">
        <v>QKVGemm</v>
      </c>
      <c r="K2" s="23">
        <v>0.4</v>
      </c>
      <c r="L2" s="4" t="str">
        <v>OutProjGemm</v>
      </c>
      <c r="M2" s="23">
        <v>0.4943323544838017</v>
      </c>
      <c r="N2" s="3" t="str">
        <v>Decode
硬件参数</v>
      </c>
      <c r="O2" s="1" t="str">
        <v>ffn 算力(T)</v>
      </c>
      <c r="P2" s="5">
        <v>376</v>
      </c>
      <c r="Q2" s="3" t="str">
        <v>模型结构</v>
      </c>
      <c r="R2" s="1" t="str">
        <v>hidden_size</v>
      </c>
      <c r="S2" s="1">
        <v>7168</v>
      </c>
      <c r="T2" s="4" t="str">
        <v>top_k</v>
      </c>
      <c r="U2" s="4">
        <v>8</v>
      </c>
      <c r="V2" s="4" t="str">
        <v>num_share_experts</v>
      </c>
      <c r="W2" s="4">
        <v>0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>
      <c r="A3" s="3"/>
      <c r="B3" s="1" t="str">
        <v>Spec Step</v>
      </c>
      <c r="C3" s="1"/>
      <c r="D3" s="1"/>
      <c r="E3" s="1">
        <v>2</v>
      </c>
      <c r="F3" s="24"/>
      <c r="G3" s="1" t="str">
        <v>Attn TP World Size</v>
      </c>
      <c r="H3" s="26">
        <v>16</v>
      </c>
      <c r="I3" s="3"/>
      <c r="J3" s="1" t="str">
        <v>GroupFFN0</v>
      </c>
      <c r="K3" s="23">
        <v>0.3</v>
      </c>
      <c r="L3" s="4" t="str">
        <v>ShareFFN0</v>
      </c>
      <c r="M3" s="23">
        <v>0.44</v>
      </c>
      <c r="N3" s="3"/>
      <c r="O3" s="1" t="str">
        <v>显存带宽(T)</v>
      </c>
      <c r="P3" s="26">
        <v>1.6</v>
      </c>
      <c r="Q3" s="3"/>
      <c r="R3" s="1" t="str">
        <v>q_head_num</v>
      </c>
      <c r="S3" s="1">
        <v>128</v>
      </c>
      <c r="T3" s="4" t="str">
        <v>num_experts</v>
      </c>
      <c r="U3" s="4">
        <v>256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>
      <c r="A4" s="3"/>
      <c r="B4" s="1" t="str">
        <v>Accept Rate</v>
      </c>
      <c r="C4" s="1"/>
      <c r="D4" s="1"/>
      <c r="E4" s="25">
        <v>0.8</v>
      </c>
      <c r="F4" s="24"/>
      <c r="G4" s="4" t="str">
        <v>Attn DP World Size</v>
      </c>
      <c r="H4" s="1">
        <f>H2/H3</f>
      </c>
      <c r="I4" s="3"/>
      <c r="J4" s="1" t="str">
        <v>GroupFFN1</v>
      </c>
      <c r="K4" s="23">
        <v>0.3</v>
      </c>
      <c r="L4" s="4" t="str">
        <v>ShareFFN1</v>
      </c>
      <c r="M4" s="23">
        <v>0.4</v>
      </c>
      <c r="N4" s="3"/>
      <c r="O4" s="1" t="str">
        <v>ar/ag/rs带宽</v>
      </c>
      <c r="P4" s="1">
        <v>900</v>
      </c>
      <c r="Q4" s="3"/>
      <c r="R4" s="1" t="str">
        <v>k_head_num</v>
      </c>
      <c r="S4" s="1">
        <v>1</v>
      </c>
      <c r="T4" s="1" t="str">
        <v>qkvo 参数量(B)</v>
      </c>
      <c r="U4" s="23"/>
      <c r="V4" s="4" t="str">
        <v>激活量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>
      <c r="A5" s="3"/>
      <c r="B5" s="4" t="str">
        <v>Accept Len</v>
      </c>
      <c r="C5" s="4"/>
      <c r="D5" s="4"/>
      <c r="E5" s="22">
        <f>(1-E4^E3)/(1-E4)</f>
      </c>
      <c r="F5" s="24"/>
      <c r="G5" s="1" t="str">
        <v>FFN World Size</v>
      </c>
      <c r="H5" s="1">
        <f>H2</f>
      </c>
      <c r="I5" s="3"/>
      <c r="J5" s="1" t="str">
        <v>Attention</v>
      </c>
      <c r="K5" s="23">
        <v>0.5</v>
      </c>
      <c r="L5" s="4" t="str">
        <v>访存 SOL</v>
      </c>
      <c r="M5" s="4">
        <v>0.7</v>
      </c>
      <c r="N5" s="3"/>
      <c r="O5" s="1" t="str">
        <v>attn 算力(T)</v>
      </c>
      <c r="P5" s="4">
        <v>376</v>
      </c>
      <c r="Q5" s="3"/>
      <c r="R5" s="4" t="str">
        <v>v_head_num</v>
      </c>
      <c r="S5" s="1">
        <v>1</v>
      </c>
      <c r="T5" s="1" t="str">
        <v>ffn 参数量(B)</v>
      </c>
      <c r="U5" s="23">
        <f>$S$9*($S$2*$S$8*3*($U$3))/1024/1024/1024</f>
      </c>
      <c r="V5" s="4" t="str">
        <v>share_experts 参数量(B)</v>
      </c>
      <c r="W5" s="22">
        <f>$S$9*($S$2*$S$8*3*$W$2)/1024/1024/1024</f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>
      <c r="A6" s="3"/>
      <c r="B6" s="4" t="str">
        <v>Cost3 系数</v>
      </c>
      <c r="C6" s="4"/>
      <c r="D6" s="4"/>
      <c r="E6" s="4">
        <v>1.5</v>
      </c>
      <c r="F6" s="24"/>
      <c r="G6" s="4" t="str">
        <v>显存总量(GB)</v>
      </c>
      <c r="H6" s="4">
        <v>96</v>
      </c>
      <c r="I6" s="3"/>
      <c r="J6" s="1" t="str">
        <v>NCCL(TP)</v>
      </c>
      <c r="K6" s="23">
        <v>0.4</v>
      </c>
      <c r="L6" s="4" t="str">
        <v>DSA</v>
      </c>
      <c r="M6" s="4">
        <v>0.7</v>
      </c>
      <c r="N6" s="3"/>
      <c r="O6" s="4" t="str">
        <v>all2all带宽(GB)</v>
      </c>
      <c r="P6" s="4">
        <v>392</v>
      </c>
      <c r="Q6" s="3"/>
      <c r="R6" s="1" t="str">
        <v>k_head_dim</v>
      </c>
      <c r="S6" s="1">
        <v>576</v>
      </c>
      <c r="T6" s="4" t="str">
        <v>buffer 预留(GB)</v>
      </c>
      <c r="U6" s="25">
        <v>1</v>
      </c>
      <c r="V6" s="4" t="str">
        <v>词表参数量(B)</v>
      </c>
      <c r="W6" s="22">
        <f>S2*U8/1024/1024/1024</f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>
      <c r="A7" s="3"/>
      <c r="B7" s="4" t="str">
        <v>Prefix Cache命中率</v>
      </c>
      <c r="C7" s="4"/>
      <c r="D7" s="4"/>
      <c r="E7" s="4">
        <v>0.1</v>
      </c>
      <c r="F7" s="24"/>
      <c r="G7" s="4"/>
      <c r="H7" s="4"/>
      <c r="I7" s="3"/>
      <c r="J7" s="1" t="str">
        <v>NCCL(A2A)</v>
      </c>
      <c r="K7" s="23">
        <v>0.4</v>
      </c>
      <c r="L7" s="4"/>
      <c r="M7" s="4"/>
      <c r="N7" s="3"/>
      <c r="O7" s="4" t="str">
        <v>bf16算力(T)</v>
      </c>
      <c r="P7" s="4">
        <v>148.4</v>
      </c>
      <c r="Q7" s="3"/>
      <c r="R7" s="4" t="str">
        <v>v_head_dim</v>
      </c>
      <c r="S7" s="4">
        <v>512</v>
      </c>
      <c r="T7" s="4" t="str">
        <v>kv_cache_1_batch(MB)</v>
      </c>
      <c r="U7" s="22">
        <f>(S4*S6+S5*S7+S12*S11)/H3*E2/1024/1024</f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>
      <c r="A8" s="3"/>
      <c r="B8" s="4"/>
      <c r="C8" s="4"/>
      <c r="D8" s="4"/>
      <c r="E8" s="4"/>
      <c r="F8" s="24"/>
      <c r="G8" s="4"/>
      <c r="H8" s="4"/>
      <c r="I8" s="3"/>
      <c r="J8" s="1" t="str">
        <v>Elementwise</v>
      </c>
      <c r="K8" s="23">
        <v>0.5</v>
      </c>
      <c r="L8" s="4"/>
      <c r="M8" s="4"/>
      <c r="N8" s="3"/>
      <c r="O8" s="4" t="str">
        <v>成本(元/Day)</v>
      </c>
      <c r="P8" s="4">
        <v>80</v>
      </c>
      <c r="Q8" s="3"/>
      <c r="R8" s="1" t="str">
        <v>ffn_dim</v>
      </c>
      <c r="S8" s="1">
        <v>2048</v>
      </c>
      <c r="T8" s="4" t="str">
        <v>vocab_size</v>
      </c>
      <c r="U8" s="4">
        <v>155136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>
      <c r="A9" s="4"/>
      <c r="B9" s="4"/>
      <c r="C9" s="4"/>
      <c r="D9" s="4"/>
      <c r="E9" s="4"/>
      <c r="F9" s="24" t="str">
        <v>Prefill
并行配置
*prefill 默认走 PP</v>
      </c>
      <c r="G9" s="1" t="str">
        <v>World Size</v>
      </c>
      <c r="H9" s="25">
        <v>16</v>
      </c>
      <c r="I9" s="3" t="str">
        <v>Prefill
SOL</v>
      </c>
      <c r="J9" s="1" t="str">
        <v>QKVGemm</v>
      </c>
      <c r="K9" s="23">
        <v>0.7</v>
      </c>
      <c r="L9" s="4" t="str">
        <v>OutProjGemm</v>
      </c>
      <c r="M9" s="23">
        <v>0.4943323544838017</v>
      </c>
      <c r="N9" s="3" t="str">
        <v>Prefill
硬件参数</v>
      </c>
      <c r="O9" s="1" t="str">
        <v>ffn 算力(T)</v>
      </c>
      <c r="P9" s="4">
        <v>376</v>
      </c>
      <c r="Q9" s="3"/>
      <c r="R9" s="1" t="str">
        <v>layers</v>
      </c>
      <c r="S9" s="1">
        <v>61</v>
      </c>
      <c r="T9" s="4" t="str">
        <v>kv_mirror_layers</v>
      </c>
      <c r="U9" s="4">
        <v>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>
      <c r="A10" s="1"/>
      <c r="B10" s="4"/>
      <c r="C10" s="4"/>
      <c r="D10" s="4"/>
      <c r="E10" s="28"/>
      <c r="F10" s="24"/>
      <c r="G10" s="1" t="str">
        <v>TP World Size</v>
      </c>
      <c r="H10" s="26">
        <v>4</v>
      </c>
      <c r="I10" s="3"/>
      <c r="J10" s="1" t="str">
        <v>GroupFFN0</v>
      </c>
      <c r="K10" s="23">
        <v>0.5</v>
      </c>
      <c r="L10" s="4" t="str">
        <v>ShareFFN0</v>
      </c>
      <c r="M10" s="23">
        <v>0.44</v>
      </c>
      <c r="N10" s="3"/>
      <c r="O10" s="1" t="str">
        <v>显存带宽(T)</v>
      </c>
      <c r="P10" s="26">
        <v>1.6</v>
      </c>
      <c r="Q10" s="3"/>
      <c r="R10" s="4" t="str">
        <v>q_lora_rank</v>
      </c>
      <c r="S10" s="4">
        <v>1536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>
      <c r="A11" s="4"/>
      <c r="B11" s="4"/>
      <c r="C11" s="4"/>
      <c r="D11" s="4"/>
      <c r="E11" s="4"/>
      <c r="F11" s="24"/>
      <c r="G11" s="4" t="str">
        <v>PP World Size</v>
      </c>
      <c r="H11" s="1">
        <f>H9/H10</f>
      </c>
      <c r="I11" s="3"/>
      <c r="J11" s="1" t="str">
        <v>GroupFFN1</v>
      </c>
      <c r="K11" s="23">
        <v>0.5</v>
      </c>
      <c r="L11" s="4" t="str">
        <v>ShareFFN1</v>
      </c>
      <c r="M11" s="23">
        <v>0.4</v>
      </c>
      <c r="N11" s="3"/>
      <c r="O11" s="1" t="str">
        <v>ar/ag/rs带宽</v>
      </c>
      <c r="P11" s="1">
        <v>900</v>
      </c>
      <c r="Q11" s="3"/>
      <c r="R11" s="4" t="str">
        <v>index_head_dim</v>
      </c>
      <c r="S11" s="4">
        <v>128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>
      <c r="A12" s="4"/>
      <c r="B12" s="4"/>
      <c r="C12" s="4"/>
      <c r="D12" s="4"/>
      <c r="E12" s="4"/>
      <c r="F12" s="24"/>
      <c r="G12" s="1" t="str">
        <v>FFN World Size</v>
      </c>
      <c r="H12" s="1">
        <f>H10</f>
      </c>
      <c r="I12" s="3"/>
      <c r="J12" s="1" t="str">
        <v>Attention</v>
      </c>
      <c r="K12" s="23">
        <v>0.5</v>
      </c>
      <c r="L12" s="4" t="str">
        <v>访存 SOL</v>
      </c>
      <c r="M12" s="4">
        <v>0.7</v>
      </c>
      <c r="N12" s="3"/>
      <c r="O12" s="1" t="str">
        <v>attn 算力(T)</v>
      </c>
      <c r="P12" s="4">
        <v>376</v>
      </c>
      <c r="Q12" s="3"/>
      <c r="R12" s="4" t="str">
        <v>index_n_heads</v>
      </c>
      <c r="S12" s="4">
        <v>64</v>
      </c>
      <c r="T12" s="1"/>
      <c r="U12" s="27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>
      <c r="A13" s="4"/>
      <c r="B13" s="4"/>
      <c r="C13" s="4"/>
      <c r="D13" s="4"/>
      <c r="E13" s="4"/>
      <c r="F13" s="24"/>
      <c r="G13" s="4" t="str">
        <v>显存总量(GB)</v>
      </c>
      <c r="H13" s="4">
        <v>24</v>
      </c>
      <c r="I13" s="3"/>
      <c r="J13" s="1" t="str">
        <v>NCCL(TP)</v>
      </c>
      <c r="K13" s="23">
        <v>0.4</v>
      </c>
      <c r="L13" s="4" t="str">
        <v>DSA</v>
      </c>
      <c r="M13" s="4">
        <v>0.7</v>
      </c>
      <c r="N13" s="3"/>
      <c r="O13" s="4" t="str">
        <v>all2all带宽(GB)</v>
      </c>
      <c r="P13" s="4">
        <v>392</v>
      </c>
      <c r="Q13" s="3"/>
      <c r="R13" s="4" t="str">
        <v>index_topk</v>
      </c>
      <c r="S13" s="4">
        <v>2048</v>
      </c>
      <c r="T13" s="1"/>
      <c r="U13" s="27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>
      <c r="A14" s="4"/>
      <c r="B14" s="4"/>
      <c r="C14" s="4"/>
      <c r="D14" s="4"/>
      <c r="E14" s="4"/>
      <c r="F14" s="24"/>
      <c r="G14" s="4"/>
      <c r="H14" s="4"/>
      <c r="I14" s="3"/>
      <c r="J14" s="1" t="str">
        <v>NCCL(A2A)</v>
      </c>
      <c r="K14" s="23">
        <v>0.5</v>
      </c>
      <c r="L14" s="4"/>
      <c r="M14" s="4"/>
      <c r="N14" s="3"/>
      <c r="O14" s="4" t="str">
        <v>bf16算力(T)</v>
      </c>
      <c r="P14" s="4">
        <v>148.4</v>
      </c>
      <c r="Q14" s="3"/>
      <c r="R14" s="4" t="str">
        <v>use_sparse</v>
      </c>
      <c r="S14" s="4">
        <v>1</v>
      </c>
      <c r="T14" s="4"/>
      <c r="U14" s="27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>
      <c r="A15" s="4"/>
      <c r="B15" s="4"/>
      <c r="C15" s="4"/>
      <c r="D15" s="4"/>
      <c r="E15" s="4"/>
      <c r="F15" s="24"/>
      <c r="G15" s="4"/>
      <c r="H15" s="4"/>
      <c r="I15" s="3"/>
      <c r="J15" s="1" t="str">
        <v>Elementwise</v>
      </c>
      <c r="K15" s="23">
        <v>0.5</v>
      </c>
      <c r="L15" s="4"/>
      <c r="M15" s="4"/>
      <c r="N15" s="3"/>
      <c r="O15" s="4" t="str">
        <v>成本(元/Day)</v>
      </c>
      <c r="P15" s="4">
        <v>80</v>
      </c>
      <c r="Q15" s="3"/>
      <c r="R15" s="4"/>
      <c r="S15" s="4"/>
      <c r="T15" s="4"/>
      <c r="U15" s="27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>
      <c r="A16" s="4"/>
      <c r="B16" s="4"/>
      <c r="C16" s="4"/>
      <c r="D16" s="4"/>
      <c r="E16" s="4"/>
      <c r="F16" s="4"/>
      <c r="G16" s="4"/>
      <c r="H16" s="4"/>
      <c r="I16" s="4"/>
      <c r="J16" s="28"/>
      <c r="K16" s="4"/>
      <c r="L16" s="4"/>
      <c r="M16" s="4"/>
      <c r="N16" s="4"/>
      <c r="O16" s="4"/>
      <c r="P16" s="4"/>
      <c r="Q16" s="4"/>
      <c r="R16" s="4"/>
      <c r="S16" s="4"/>
      <c r="T16" s="4"/>
      <c r="U16" s="27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>
        <f>1/AT21*1000*20</f>
      </c>
      <c r="AW18" s="4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>
      <c r="A19" s="21" t="str">
        <v>Decoding 分段成本 MLA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>
      <c r="A20" s="1" t="str">
        <v>context_len</v>
      </c>
      <c r="B20" s="1" t="str">
        <v>Local BatchSize</v>
      </c>
      <c r="C20" s="1" t="str">
        <v>Global BatchSize</v>
      </c>
      <c r="D20" s="1" t="str">
        <v>Local Spec DP BatchSize</v>
      </c>
      <c r="E20" s="1" t="str">
        <v>Spec Global BatchSize</v>
      </c>
      <c r="F20" s="1" t="str">
        <v>q_a_proj 计算耗时
*fixed</v>
      </c>
      <c r="G20" s="1" t="str">
        <v>q_a_proj 访存耗时</v>
      </c>
      <c r="H20" s="1" t="str">
        <v>q_b_proj 计算耗时</v>
      </c>
      <c r="I20" s="1" t="str">
        <v>q_b_proj 访存耗时</v>
      </c>
      <c r="J20" s="1" t="str">
        <v>q_index_b_proj 计算耗时
*fixed</v>
      </c>
      <c r="K20" s="1" t="str">
        <v>q_index_b_proj 访存耗时</v>
      </c>
      <c r="L20" s="1" t="str">
        <v>kv_index_proj 计算耗时
*fixed</v>
      </c>
      <c r="M20" s="1" t="str">
        <v>kv_index_proj 访存耗时</v>
      </c>
      <c r="N20" s="1" t="str">
        <v>index_weight_proj 计算耗时
*fixed</v>
      </c>
      <c r="O20" s="19" t="str">
        <v>index_weight_proj 访存耗时</v>
      </c>
      <c r="P20" s="1" t="str">
        <v>index 计算耗时</v>
      </c>
      <c r="Q20" s="17" t="str">
        <v>index 访存耗时</v>
      </c>
      <c r="R20" s="1" t="str">
        <v>k_b_proj 计算耗时
*bf16</v>
      </c>
      <c r="S20" s="1" t="str">
        <v>k_b_proj 访存耗时
*bf16</v>
      </c>
      <c r="T20" s="1" t="str">
        <v>kv_a_proj 计算耗时
*fixed</v>
      </c>
      <c r="U20" s="17" t="str">
        <v>attn 计算耗时
*bf16 精度，所以多乘了一个2</v>
      </c>
      <c r="V20" s="17" t="str">
        <v>attn 访存耗时</v>
      </c>
      <c r="W20" s="17" t="str">
        <v>v_b_proj 计算耗时 
*bf16</v>
      </c>
      <c r="X20" s="1" t="str">
        <v>v_b_proj 访存耗时 
*bf16</v>
      </c>
      <c r="Y20" s="1" t="str">
        <v>o_proj 计算耗时</v>
      </c>
      <c r="Z20" s="1" t="str">
        <v>o_proj 访存耗时</v>
      </c>
      <c r="AA20" s="20" t="str">
        <v>element_wise&amp;topk&amp;share</v>
      </c>
      <c r="AB20" s="1" t="str">
        <v>all_reduce</v>
      </c>
      <c r="AC20" s="17" t="str">
        <v>all2all_0
*包含dp不均损耗</v>
      </c>
      <c r="AD20" s="17" t="str">
        <v>ffn0 计算耗时</v>
      </c>
      <c r="AE20" s="17" t="str">
        <v>ffn0 访存耗时</v>
      </c>
      <c r="AF20" s="1" t="str">
        <v>ffn1 计算耗时</v>
      </c>
      <c r="AG20" s="1" t="str">
        <v>ffn1 访存耗时</v>
      </c>
      <c r="AH20" s="1" t="str">
        <v>all2all_1
*包含ep不均损耗</v>
      </c>
      <c r="AI20" s="1" t="str">
        <v>all_gather</v>
      </c>
      <c r="AJ20" s="1" t="str">
        <v>attn非sparse计算耗时</v>
      </c>
      <c r="AK20" s="1" t="str">
        <v>attn非sparse访存耗时</v>
      </c>
      <c r="AL20" s="1" t="str">
        <v>per_layer耗时</v>
      </c>
      <c r="AM20" s="1" t="str">
        <v>非sparse per_layer耗时</v>
      </c>
      <c r="AN20" s="1" t="str">
        <v>ffn耗时占比</v>
      </c>
      <c r="AO20" s="1" t="str">
        <v>非sparse ffn耗时占比</v>
      </c>
      <c r="AP20" s="1" t="str">
        <v>attn耗时占比</v>
      </c>
      <c r="AQ20" s="1" t="str">
        <v>非sparse attn耗时占比</v>
      </c>
      <c r="AR20" s="1" t="str">
        <v>all_layer耗时(ms)</v>
      </c>
      <c r="AS20" s="1" t="str">
        <v>非 sparse all_layer耗时(ms)</v>
      </c>
      <c r="AT20" s="1" t="str">
        <v>TPOT(ms)</v>
      </c>
      <c r="AU20" s="1" t="str">
        <v>非 sparse TPOT耗时(ms)</v>
      </c>
      <c r="AV20" s="1" t="str">
        <v>tps/card</v>
      </c>
      <c r="AW20" s="1" t="str">
        <v>非 sparse tps/card</v>
      </c>
      <c r="AX20" s="1" t="str">
        <v>cost1成本(元/百万Token)</v>
      </c>
      <c r="AY20" s="1" t="str">
        <v>非 sparse  cost1成本(元/百万Token)</v>
      </c>
      <c r="AZ20" s="1" t="str">
        <v>cost3成本(元/百万Token)</v>
      </c>
      <c r="BA20" s="1" t="str">
        <v>非 sparse cost3成本(元/百万Token)</v>
      </c>
      <c r="BB20" s="2"/>
      <c r="BC20" s="2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>
      <c r="A21" s="4">
        <v>1</v>
      </c>
      <c r="B21" s="4">
        <f>E21/$H$4/$E$3</f>
      </c>
      <c r="C21" s="4">
        <f>B21*$H$4</f>
      </c>
      <c r="D21" s="4">
        <f>B21*$E$3</f>
      </c>
      <c r="E21" s="4">
        <v>640</v>
      </c>
      <c r="F21" s="12">
        <v>10</v>
      </c>
      <c r="G21" s="12">
        <f>_xlfn.LAMBDA(m,n,k,(m*k+2*m*n+n*k)*1000*1000/$P$3/1024/1024/1024/1024/$M$5)(B21*$E$3,$S$10,$S$2)</f>
      </c>
      <c r="H21" s="12">
        <f>_xlfn.LAMBDA(m,n,k, 2*m*n*k*1000*1000/$P$2/1024/1024/1024/1024/$K$2)(B21*$E$3, $S$3*(128+64)/$H$3, $S$10)</f>
      </c>
      <c r="I21" s="12">
        <f>_xlfn.LAMBDA(m,n,k,(m*k+2*m*n+n*k)*1000*1000/$P$3/1024/1024/1024/1024/$M$5)(B21*$E$3, $S$3*(128+64)/$H$3, $S$10)</f>
      </c>
      <c r="J21" s="12">
        <v>15</v>
      </c>
      <c r="K21" s="12">
        <f>_xlfn.LAMBDA(m,n,k,(m*k+2*m*n+n*k)*1000*1000/$P$3/1024/1024/1024/1024/$M$5)(B21*$E$3,$S$11*$S$12,$S$10)</f>
      </c>
      <c r="L21" s="12">
        <v>15</v>
      </c>
      <c r="M21" s="12">
        <f>_xlfn.LAMBDA(m,n,k,(m*k+2*m*n+n*k)*1000*1000/$P$3/1024/1024/1024/1024/$M$5)(B21*$E$3,$S$11,$S$2)</f>
      </c>
      <c r="N21" s="12">
        <v>5</v>
      </c>
      <c r="O21" s="12">
        <f>_xlfn.LAMBDA(m,n,k,(2*m*k+2*m*n+2*n*k)*1000*1000/$P$3/1024/1024/1024/1024/$M$5)(B21*$E$3,$S$12,$S$2)</f>
      </c>
      <c r="P21" s="12">
        <f>_xlfn.LAMBDA(seq_len, q_len, bs, seq_len*q_len*bs*2*($S$12*$S$11/$P$5 + $S$12 / $P$7)*1000*1000/1024/1024/1024/1024/$M$6)(A21,$E$3,B21)</f>
      </c>
      <c r="Q21" s="12">
        <f>_xlfn.LAMBDA(seq_len, q_len, bs, (q_len*bs*$S$12*$S$11 + seq_len * bs * $S$11 + q_len*bs*$S$12*4)*1000*1000/1024/1024/1024/1024/$P$3/$M$5)(A21,$E$3,B21)</f>
      </c>
      <c r="R21" s="12">
        <f>_xlfn.LAMBDA(b, m,n,k, 2*b*m*n*k*1000*1000/$P$7/1024/1024/1024/1024/$K$2)($S$3, B21*$E$3, 128, $S$7)</f>
      </c>
      <c r="S21" s="12">
        <f>_xlfn.LAMBDA(b,m,n,k,b*(2*m*k+2*m*n+2*n*k)*1000*1000/$P$3/1024/1024/1024/1024/$M$5)($S$3, B21*$E$3, 128, $S$7)</f>
      </c>
      <c r="T21" s="12">
        <v>10</v>
      </c>
      <c r="U21" s="12">
        <f>_xlfn.LAMBDA(seq_len, q_len, bs, 2*seq_len*q_len*bs*2*$S$3/$H$3*($S$6 + $S$7)*1000*1000/1024/1024/1024/1024/$P$5/$M$6)(MIN(A21,2048),$E$3,B21)</f>
      </c>
      <c r="V21" s="12">
        <f>_xlfn.LAMBDA(seq_len, q_len, bs, seq_len*bs*($S$6 + $S$7)*1000*1000/1024/1024/1024/1024/$P$3/$M$5)(MIN(A21,2048),$E$3,B21)</f>
      </c>
      <c r="W21" s="12">
        <f>_xlfn.LAMBDA(b, m,n,k, 2*b*m*n*k*1000*1000/$P$7/1024/1024/1024/1024/$K$2)($S$3, B21*$E$3, 128, $S$7)</f>
      </c>
      <c r="X21" s="12">
        <f>_xlfn.LAMBDA(b,m,n,k,b*(2*m*k+2*m*n+2*n*k)*1000*1000/$P$3/1024/1024/1024/1024/$M$5)($S$3, B21*$E$3, 128, $S$7)</f>
      </c>
      <c r="Y21" s="12">
        <f>_xlfn.LAMBDA(m,n,k, 2*m*n*k*1000*1000/$P$2/1024/1024/1024/1024/$M$2)(B21*$E$3, $S$3*128/$H$3, $S$2)</f>
      </c>
      <c r="Z21" s="12">
        <f>_xlfn.LAMBDA(m,n,k,(m*k+2*m*n+n*k)*1000*1000/$P$3/1024/1024/1024/1024/$M$5)(B21*$E$3, $S$3*128/$H$3, $S$2)</f>
      </c>
      <c r="AA21" s="12">
        <f>150 + $B21 *$E$3 * 2.3</f>
      </c>
      <c r="AB21" s="12">
        <f>_xlfn.LAMBDA(tp_size, hidden_size, batch_size, 2*batch_size*(tp_size-1)/tp_size*hidden_size*1000*1000/$P$4/1024/1024/1024/$K$6)($H$3, $S$2,B21*$E$3)</f>
      </c>
      <c r="AC21" s="12">
        <f>_xlfn.LAMBDA(token_size_per_rank, to_nodes,hidden_size, sizeof_dtype, 50 + 4*token_size_per_rank * to_nodes * hidden_size*sizeof_dtype*1000*1000/$P$6/1024/1024/1024/$K$7)(B21*$E$5/$H$3, MIN($H$2,$U$2), $S$2, 1)</f>
      </c>
      <c r="AD21" s="12">
        <f>_xlfn.LAMBDA(m,n,k, 2*m*n*k*1000*1000/$P$2/1024/1024/1024/1024/$K$3)(E21*$U$2/$H$5,$S$8*2,$S$2)</f>
      </c>
      <c r="AE21" s="12">
        <f>_xlfn.LAMBDA(size_of_dtype, experts, ep_size, hidden_size, internal_dim, experts/ep_size*hidden_size*internal_dim*size_of_dtype/$P$3/$M$5/1024/1024/1024/1024*1000*1000)(0.5,$U$3,$H$5,$S$2,$S$8*2)</f>
      </c>
      <c r="AF21" s="12">
        <f>_xlfn.LAMBDA(m,n,k, 2*m*n*k*1000*1000/$P$2/1024/1024/1024/1024/$K$3)(E21*$U$2/$H$5,$S$2,$S$8)</f>
      </c>
      <c r="AG21" s="12">
        <f>_xlfn.LAMBDA(size_of_dtype, experts, ep_size, hidden_size, internal_dim, experts/ep_size*hidden_size*internal_dim*size_of_dtype/$P$3/$M$5/1024/1024/1024/1024*1000*1000)(0.5,$U$3,$H$5,$S$8, $S$2)</f>
      </c>
      <c r="AH21" s="12">
        <f>AC21</f>
      </c>
      <c r="AI21" s="12">
        <f>_xlfn.LAMBDA(tp_size, hidden_size, batch_size, batch_size*(tp_size-1)*hidden_size*1000*1000/$P$4/1024/1024/1024/$K$6)($H$3, $S$2,B21*$E$3)</f>
      </c>
      <c r="AJ21" s="12">
        <f>_xlfn.LAMBDA(seq_len, q_len, bs, 2*seq_len*q_len*bs*2*$S$3/$H$3*($S$6 + $S$7)*1000*1000/1024/1024/1024/1024/$P$5/$K$5)(A21,$E$3,B21)</f>
      </c>
      <c r="AK21" s="12">
        <f>_xlfn.LAMBDA(seq_len, q_len, bs, seq_len*bs*($S$6 + $S$7)*1000*1000/1024/1024/1024/1024/$P$3/$M$5)(A21,$E$3,B21)</f>
      </c>
      <c r="AL21" s="12">
        <f>MAX(F21:G21)+MAX(H21:I21)+MAX(J21:K21)+MAX(L21:M21)+MAX(N21:O21)+MAX(P21:Q21)+MAX(R21:S21)+MAX(T21:U21)+MAX(U21:V21)+MAX(W21:X21)+MAX(Y21:Z21)+MAX(AD21:AE21)+MAX(AF21:AG21)+SUM(AA21:AC21)+SUM(AH21:AI21)</f>
      </c>
      <c r="AM21" s="12">
        <f>AL21-MAX(L21:M21)-MAX(N21:O21)-MAX(P21:Q21)-MAX(J21:K21)-MAX(U21:V21)+MAX(AJ21:AK21)-0.05*AL21</f>
      </c>
      <c r="AN21" s="12">
        <f>(MAX(AD21:AE21)+MAX(AF21:AG21))/AL21</f>
      </c>
      <c r="AO21" s="12">
        <f>(MAX(AD21:AE21)+MAX(AF21:AG21))/AM21</f>
      </c>
      <c r="AP21" s="12">
        <f>MAX(U21:V21)/AL21</f>
      </c>
      <c r="AQ21" s="12">
        <f>MAX(AJ21:AK21)/AM21</f>
      </c>
      <c r="AR21" s="12">
        <f>AL21*$S$9/1000</f>
      </c>
      <c r="AS21" s="12">
        <f>AM21*$S$9/1000</f>
      </c>
      <c r="AT21" s="12">
        <f>(AR21+2)/$E$5</f>
      </c>
      <c r="AU21" s="12">
        <f>(AS21+2)/$E$5</f>
      </c>
      <c r="AV21" s="12">
        <f>B21*1000/AT21/$H$3</f>
      </c>
      <c r="AW21" s="12">
        <f>B21*1000/AU21/$H$3</f>
      </c>
      <c r="AX21" s="13">
        <f>1000000*$P$8/24/60/60/AV21</f>
      </c>
      <c r="AY21" s="13">
        <f>1000000*$P$8/24/60/60/AW21</f>
      </c>
      <c r="AZ21" s="13">
        <f>AX21*$E$6</f>
      </c>
      <c r="BA21" s="13">
        <f>AY21*$E$6</f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</row>
    <row r="22">
      <c r="A22" s="4">
        <v>1024</v>
      </c>
      <c r="B22" s="4">
        <f>E22/$H$4/$E$3</f>
      </c>
      <c r="C22" s="4">
        <f>B22*$H$4</f>
      </c>
      <c r="D22" s="4">
        <f>B22*$E$3</f>
      </c>
      <c r="E22" s="4">
        <v>640</v>
      </c>
      <c r="F22" s="12">
        <v>10</v>
      </c>
      <c r="G22" s="12">
        <f>_xlfn.LAMBDA(m,n,k,(m*k+2*m*n+n*k)*1000*1000/$P$3/1024/1024/1024/1024/$M$5)(B22*$E$3,$S$10,$S$2)</f>
      </c>
      <c r="H22" s="12">
        <f>_xlfn.LAMBDA(m,n,k, 2*m*n*k*1000*1000/$P$2/1024/1024/1024/1024/$K$2)(B22*$E$3, $S$3*(128+64)/$H$3, $S$10)</f>
      </c>
      <c r="I22" s="12">
        <f>_xlfn.LAMBDA(m,n,k,(m*k+2*m*n+n*k)*1000*1000/$P$3/1024/1024/1024/1024/$M$5)(B22*$E$3, $S$3*(128+64)/$H$3, $S$10)</f>
      </c>
      <c r="J22" s="12">
        <v>15</v>
      </c>
      <c r="K22" s="12">
        <f>_xlfn.LAMBDA(m,n,k,(m*k+2*m*n+n*k)*1000*1000/$P$3/1024/1024/1024/1024/$M$5)(B22*$E$3,$S$11*$S$12,$S$10)</f>
      </c>
      <c r="L22" s="12">
        <v>15</v>
      </c>
      <c r="M22" s="12">
        <f>_xlfn.LAMBDA(m,n,k,(m*k+2*m*n+n*k)*1000*1000/$P$3/1024/1024/1024/1024/$M$5)(B22*$E$3,$S$11,$S$2)</f>
      </c>
      <c r="N22" s="12">
        <v>5</v>
      </c>
      <c r="O22" s="12">
        <f>_xlfn.LAMBDA(m,n,k,(2*m*k+2*m*n+2*n*k)*1000*1000/$P$3/1024/1024/1024/1024/$M$5)(B22*$E$3,$S$12,$S$2)</f>
      </c>
      <c r="P22" s="12">
        <f>_xlfn.LAMBDA(seq_len, q_len, bs, seq_len*q_len*bs*2*($S$12*$S$11/$P$5 + $S$12 / $P$7)*1000*1000/1024/1024/1024/1024/$M$6)(A22,$E$3,B22)</f>
      </c>
      <c r="Q22" s="12">
        <f>_xlfn.LAMBDA(seq_len, q_len, bs, (q_len*bs*$S$12*$S$11 + seq_len * bs * $S$11 + q_len*bs*$S$12*4)*1000*1000/1024/1024/1024/1024/$P$3/$M$5)(A22,$E$3,B22)</f>
      </c>
      <c r="R22" s="12">
        <f>_xlfn.LAMBDA(b, m,n,k, 2*b*m*n*k*1000*1000/$P$7/1024/1024/1024/1024/$K$2)($S$3, B22*$E$3, 128, $S$7)</f>
      </c>
      <c r="S22" s="12">
        <f>_xlfn.LAMBDA(b,m,n,k,b*(2*m*k+2*m*n+2*n*k)*1000*1000/$P$3/1024/1024/1024/1024/$M$5)($S$3, B22*$E$3, 128, $S$7)</f>
      </c>
      <c r="T22" s="12">
        <v>10</v>
      </c>
      <c r="U22" s="12">
        <f>_xlfn.LAMBDA(seq_len, q_len, bs, 2*seq_len*q_len*bs*2*$S$3/$H$3*($S$6 + $S$7)*1000*1000/1024/1024/1024/1024/$P$5/$M$6)(MIN(A22,2048),$E$3,B22)</f>
      </c>
      <c r="V22" s="12">
        <f>_xlfn.LAMBDA(seq_len, q_len, bs, seq_len*bs*($S$6 + $S$7)*1000*1000/1024/1024/1024/1024/$P$3/$M$5)(MIN(A22,2048),$E$3,B22)</f>
      </c>
      <c r="W22" s="12">
        <f>_xlfn.LAMBDA(b, m,n,k, 2*b*m*n*k*1000*1000/$P$7/1024/1024/1024/1024/$K$2)($S$3, B22*$E$3, 128, $S$7)</f>
      </c>
      <c r="X22" s="12">
        <f>_xlfn.LAMBDA(b,m,n,k,b*(2*m*k+2*m*n+2*n*k)*1000*1000/$P$3/1024/1024/1024/1024/$M$5)($S$3, B22*$E$3, 128, $S$7)</f>
      </c>
      <c r="Y22" s="12">
        <f>_xlfn.LAMBDA(m,n,k, 2*m*n*k*1000*1000/$P$2/1024/1024/1024/1024/$M$2)(B22*$E$3, $S$3*128/$H$3, $S$2)</f>
      </c>
      <c r="Z22" s="12">
        <f>_xlfn.LAMBDA(m,n,k,(m*k+2*m*n+n*k)*1000*1000/$P$3/1024/1024/1024/1024/$M$5)(B22*$E$3, $S$3*128/$H$3, $S$2)</f>
      </c>
      <c r="AA22" s="12">
        <f>150 + $B22 *$E$3 * 2.3</f>
      </c>
      <c r="AB22" s="12">
        <f>_xlfn.LAMBDA(tp_size, hidden_size, batch_size, 2*batch_size*(tp_size-1)/tp_size*hidden_size*1000*1000/$P$4/1024/1024/1024/$K$6)($H$3, $S$2,B22*$E$3)</f>
      </c>
      <c r="AC22" s="12">
        <f>_xlfn.LAMBDA(token_size_per_rank, to_nodes,hidden_size, sizeof_dtype, 50 + 4*token_size_per_rank * to_nodes * hidden_size*sizeof_dtype*1000*1000/$P$6/1024/1024/1024/$K$7)(B22*$E$5/$H$3, MIN($H$2,$U$2), $S$2, 1)</f>
      </c>
      <c r="AD22" s="12">
        <f>_xlfn.LAMBDA(m,n,k, 2*m*n*k*1000*1000/$P$2/1024/1024/1024/1024/$K$3)(E22*$U$2/$H$5,$S$8*2,$S$2)</f>
      </c>
      <c r="AE22" s="12">
        <f>_xlfn.LAMBDA(size_of_dtype, experts, ep_size, hidden_size, internal_dim, experts/ep_size*hidden_size*internal_dim*size_of_dtype/$P$3/$M$5/1024/1024/1024/1024*1000*1000)(0.5,$U$3,$H$5,$S$2,$S$8*2)</f>
      </c>
      <c r="AF22" s="12">
        <f>_xlfn.LAMBDA(m,n,k, 2*m*n*k*1000*1000/$P$2/1024/1024/1024/1024/$K$3)(E22*$U$2/$H$5,$S$2,$S$8)</f>
      </c>
      <c r="AG22" s="12">
        <f>_xlfn.LAMBDA(size_of_dtype, experts, ep_size, hidden_size, internal_dim, experts/ep_size*hidden_size*internal_dim*size_of_dtype/$P$3/$M$5/1024/1024/1024/1024*1000*1000)(0.5,$U$3,$H$5,$S$8, $S$2)</f>
      </c>
      <c r="AH22" s="12">
        <f>AC22</f>
      </c>
      <c r="AI22" s="12">
        <f>_xlfn.LAMBDA(tp_size, hidden_size, batch_size, batch_size*(tp_size-1)*hidden_size*1000*1000/$P$4/1024/1024/1024/$K$6)($H$3, $S$2,B22*$E$3)</f>
      </c>
      <c r="AJ22" s="12">
        <f>_xlfn.LAMBDA(seq_len, q_len, bs, 2*seq_len*q_len*bs*2*$S$3/$H$3*($S$6 + $S$7)*1000*1000/1024/1024/1024/1024/$P$5/$K$5)(A22,$E$3,B22)</f>
      </c>
      <c r="AK22" s="12">
        <f>_xlfn.LAMBDA(seq_len, q_len, bs, seq_len*bs*($S$6 + $S$7)*1000*1000/1024/1024/1024/1024/$P$3/$M$5)(A22,$E$3,B22)</f>
      </c>
      <c r="AL22" s="12">
        <f>MAX(F22:G22)+MAX(H22:I22)+MAX(J22:K22)+MAX(L22:M22)+MAX(N22:O22)+MAX(P22:Q22)+MAX(R22:S22)+MAX(T22:U22)+MAX(U22:V22)+MAX(W22:X22)+MAX(Y22:Z22)+MAX(AD22:AE22)+MAX(AF22:AG22)+SUM(AA22:AC22)+SUM(AH22:AI22)</f>
      </c>
      <c r="AM22" s="12">
        <f>AL22-MAX(L22:M22)-MAX(N22:O22)-MAX(P22:Q22)-MAX(J22:K22)-MAX(U22:V22)+MAX(AJ22:AK22)-0.05*AL22</f>
      </c>
      <c r="AN22" s="12">
        <f>(MAX(AD22:AE22)+MAX(AF22:AG22))/AL22</f>
      </c>
      <c r="AO22" s="12">
        <f>(MAX(AD22:AE22)+MAX(AF22:AG22))/AM22</f>
      </c>
      <c r="AP22" s="12">
        <f>MAX(U22:V22)/AL22</f>
      </c>
      <c r="AQ22" s="12">
        <f>MAX(AJ22:AK22)/AM22</f>
      </c>
      <c r="AR22" s="12">
        <f>AL22*$S$9/1000</f>
      </c>
      <c r="AS22" s="12">
        <f>AM22*$S$9/1000</f>
      </c>
      <c r="AT22" s="12">
        <f>(AR22+2)/$E$5</f>
      </c>
      <c r="AU22" s="12">
        <f>(AS22+2)/$E$5</f>
      </c>
      <c r="AV22" s="12">
        <f>B22*1000/AT22/$H$3</f>
      </c>
      <c r="AW22" s="12">
        <f>B22*1000/AU22/$H$3</f>
      </c>
      <c r="AX22" s="13">
        <f>1000000*$P$8/24/60/60/AV22</f>
      </c>
      <c r="AY22" s="13">
        <f>1000000*$P$8/24/60/60/AW22</f>
      </c>
      <c r="AZ22" s="13">
        <f>AX22*$E$6</f>
      </c>
      <c r="BA22" s="13">
        <f>AY22*$E$6</f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</row>
    <row r="23">
      <c r="A23" s="4">
        <v>2048</v>
      </c>
      <c r="B23" s="4">
        <f>E23/$H$4/$E$3</f>
      </c>
      <c r="C23" s="4">
        <f>B23*$H$4</f>
      </c>
      <c r="D23" s="4">
        <f>B23*$E$3</f>
      </c>
      <c r="E23" s="4">
        <v>640</v>
      </c>
      <c r="F23" s="12">
        <v>10</v>
      </c>
      <c r="G23" s="12">
        <f>_xlfn.LAMBDA(m,n,k,(m*k+2*m*n+n*k)*1000*1000/$P$3/1024/1024/1024/1024/$M$5)(B23*$E$3,$S$10,$S$2)</f>
      </c>
      <c r="H23" s="12">
        <f>_xlfn.LAMBDA(m,n,k, 2*m*n*k*1000*1000/$P$2/1024/1024/1024/1024/$K$2)(B23*$E$3, $S$3*(128+64)/$H$3, $S$10)</f>
      </c>
      <c r="I23" s="12">
        <f>_xlfn.LAMBDA(m,n,k,(m*k+2*m*n+n*k)*1000*1000/$P$3/1024/1024/1024/1024/$M$5)(B23*$E$3, $S$3*(128+64)/$H$3, $S$10)</f>
      </c>
      <c r="J23" s="12">
        <v>15</v>
      </c>
      <c r="K23" s="12">
        <f>_xlfn.LAMBDA(m,n,k,(m*k+2*m*n+n*k)*1000*1000/$P$3/1024/1024/1024/1024/$M$5)(B23*$E$3,$S$11*$S$12,$S$10)</f>
      </c>
      <c r="L23" s="12">
        <v>15</v>
      </c>
      <c r="M23" s="12">
        <f>_xlfn.LAMBDA(m,n,k,(m*k+2*m*n+n*k)*1000*1000/$P$3/1024/1024/1024/1024/$M$5)(B23*$E$3,$S$11,$S$2)</f>
      </c>
      <c r="N23" s="12">
        <v>5</v>
      </c>
      <c r="O23" s="12">
        <f>_xlfn.LAMBDA(m,n,k,(2*m*k+2*m*n+2*n*k)*1000*1000/$P$3/1024/1024/1024/1024/$M$5)(B23*$E$3,$S$12,$S$2)</f>
      </c>
      <c r="P23" s="12">
        <f>_xlfn.LAMBDA(seq_len, q_len, bs, seq_len*q_len*bs*2*($S$12*$S$11/$P$5 + $S$12 / $P$7)*1000*1000/1024/1024/1024/1024/$M$6)(A23,$E$3,B23)</f>
      </c>
      <c r="Q23" s="12">
        <f>_xlfn.LAMBDA(seq_len, q_len, bs, (q_len*bs*$S$12*$S$11 + seq_len * bs * $S$11 + q_len*bs*$S$12*4)*1000*1000/1024/1024/1024/1024/$P$3/$M$5)(A23,$E$3,B23)</f>
      </c>
      <c r="R23" s="12">
        <f>_xlfn.LAMBDA(b, m,n,k, 2*b*m*n*k*1000*1000/$P$7/1024/1024/1024/1024/$K$2)($S$3, B23*$E$3, 128, $S$7)</f>
      </c>
      <c r="S23" s="12">
        <f>_xlfn.LAMBDA(b,m,n,k,b*(2*m*k+2*m*n+2*n*k)*1000*1000/$P$3/1024/1024/1024/1024/$M$5)($S$3, B23*$E$3, 128, $S$7)</f>
      </c>
      <c r="T23" s="12">
        <v>10</v>
      </c>
      <c r="U23" s="12">
        <f>_xlfn.LAMBDA(seq_len, q_len, bs, 2*seq_len*q_len*bs*2*$S$3/$H$3*($S$6 + $S$7)*1000*1000/1024/1024/1024/1024/$P$5/$M$6)(MIN(A23,2048),$E$3,B23)</f>
      </c>
      <c r="V23" s="12">
        <f>_xlfn.LAMBDA(seq_len, q_len, bs, seq_len*bs*($S$6 + $S$7)*1000*1000/1024/1024/1024/1024/$P$3/$M$5)(MIN(A23,2048),$E$3,B23)</f>
      </c>
      <c r="W23" s="12">
        <f>_xlfn.LAMBDA(b, m,n,k, 2*b*m*n*k*1000*1000/$P$7/1024/1024/1024/1024/$K$2)($S$3, B23*$E$3, 128, $S$7)</f>
      </c>
      <c r="X23" s="12">
        <f>_xlfn.LAMBDA(b,m,n,k,b*(2*m*k+2*m*n+2*n*k)*1000*1000/$P$3/1024/1024/1024/1024/$M$5)($S$3, B23*$E$3, 128, $S$7)</f>
      </c>
      <c r="Y23" s="12">
        <f>_xlfn.LAMBDA(m,n,k, 2*m*n*k*1000*1000/$P$2/1024/1024/1024/1024/$M$2)(B23*$E$3, $S$3*128/$H$3, $S$2)</f>
      </c>
      <c r="Z23" s="12">
        <f>_xlfn.LAMBDA(m,n,k,(m*k+2*m*n+n*k)*1000*1000/$P$3/1024/1024/1024/1024/$M$5)(B23*$E$3, $S$3*128/$H$3, $S$2)</f>
      </c>
      <c r="AA23" s="12">
        <f>150 + $B23 *$E$3 * 2.3</f>
      </c>
      <c r="AB23" s="12">
        <f>_xlfn.LAMBDA(tp_size, hidden_size, batch_size, 2*batch_size*(tp_size-1)/tp_size*hidden_size*1000*1000/$P$4/1024/1024/1024/$K$6)($H$3, $S$2,B23*$E$3)</f>
      </c>
      <c r="AC23" s="12">
        <f>_xlfn.LAMBDA(token_size_per_rank, to_nodes,hidden_size, sizeof_dtype, 50 + 4*token_size_per_rank * to_nodes * hidden_size*sizeof_dtype*1000*1000/$P$6/1024/1024/1024/$K$7)(B23*$E$5/$H$3, MIN($H$2,$U$2), $S$2, 1)</f>
      </c>
      <c r="AD23" s="12">
        <f>_xlfn.LAMBDA(m,n,k, 2*m*n*k*1000*1000/$P$2/1024/1024/1024/1024/$K$3)(E23*$U$2/$H$5,$S$8*2,$S$2)</f>
      </c>
      <c r="AE23" s="12">
        <f>_xlfn.LAMBDA(size_of_dtype, experts, ep_size, hidden_size, internal_dim, experts/ep_size*hidden_size*internal_dim*size_of_dtype/$P$3/$M$5/1024/1024/1024/1024*1000*1000)(0.5,$U$3,$H$5,$S$2,$S$8*2)</f>
      </c>
      <c r="AF23" s="12">
        <f>_xlfn.LAMBDA(m,n,k, 2*m*n*k*1000*1000/$P$2/1024/1024/1024/1024/$K$3)(E23*$U$2/$H$5,$S$2,$S$8)</f>
      </c>
      <c r="AG23" s="12">
        <f>_xlfn.LAMBDA(size_of_dtype, experts, ep_size, hidden_size, internal_dim, experts/ep_size*hidden_size*internal_dim*size_of_dtype/$P$3/$M$5/1024/1024/1024/1024*1000*1000)(0.5,$U$3,$H$5,$S$8, $S$2)</f>
      </c>
      <c r="AH23" s="12">
        <f>AC23</f>
      </c>
      <c r="AI23" s="12">
        <f>_xlfn.LAMBDA(tp_size, hidden_size, batch_size, batch_size*(tp_size-1)*hidden_size*1000*1000/$P$4/1024/1024/1024/$K$6)($H$3, $S$2,B23*$E$3)</f>
      </c>
      <c r="AJ23" s="12">
        <f>_xlfn.LAMBDA(seq_len, q_len, bs, 2*seq_len*q_len*bs*2*$S$3/$H$3*($S$6 + $S$7)*1000*1000/1024/1024/1024/1024/$P$5/$K$5)(A23,$E$3,B23)</f>
      </c>
      <c r="AK23" s="12">
        <f>_xlfn.LAMBDA(seq_len, q_len, bs, seq_len*bs*($S$6 + $S$7)*1000*1000/1024/1024/1024/1024/$P$3/$M$5)(A23,$E$3,B23)</f>
      </c>
      <c r="AL23" s="12">
        <f>MAX(F23:G23)+MAX(H23:I23)+MAX(J23:K23)+MAX(L23:M23)+MAX(N23:O23)+MAX(P23:Q23)+MAX(R23:S23)+MAX(T23:U23)+MAX(U23:V23)+MAX(W23:X23)+MAX(Y23:Z23)+MAX(AD23:AE23)+MAX(AF23:AG23)+SUM(AA23:AC23)+SUM(AH23:AI23)</f>
      </c>
      <c r="AM23" s="12">
        <f>AL23-MAX(L23:M23)-MAX(N23:O23)-MAX(P23:Q23)-MAX(J23:K23)-MAX(U23:V23)+MAX(AJ23:AK23)-0.05*AL23</f>
      </c>
      <c r="AN23" s="12">
        <f>(MAX(AD23:AE23)+MAX(AF23:AG23))/AL23</f>
      </c>
      <c r="AO23" s="12">
        <f>(MAX(AD23:AE23)+MAX(AF23:AG23))/AM23</f>
      </c>
      <c r="AP23" s="12">
        <f>MAX(U23:V23)/AL23</f>
      </c>
      <c r="AQ23" s="12">
        <f>MAX(AJ23:AK23)/AM23</f>
      </c>
      <c r="AR23" s="12">
        <f>AL23*$S$9/1000</f>
      </c>
      <c r="AS23" s="12">
        <f>AM23*$S$9/1000</f>
      </c>
      <c r="AT23" s="12">
        <f>(AR23+2)/$E$5</f>
      </c>
      <c r="AU23" s="12">
        <f>(AS23+2)/$E$5</f>
      </c>
      <c r="AV23" s="12">
        <f>B23*1000/AT23/$H$3</f>
      </c>
      <c r="AW23" s="12">
        <f>B23*1000/AU23/$H$3</f>
      </c>
      <c r="AX23" s="13">
        <f>1000000*$P$8/24/60/60/AV23</f>
      </c>
      <c r="AY23" s="13">
        <f>1000000*$P$8/24/60/60/AW23</f>
      </c>
      <c r="AZ23" s="13">
        <f>AX23*$E$6</f>
      </c>
      <c r="BA23" s="13">
        <f>AY23*$E$6</f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</row>
    <row r="24">
      <c r="A24" s="4">
        <v>3072</v>
      </c>
      <c r="B24" s="4">
        <f>E24/$H$4/$E$3</f>
      </c>
      <c r="C24" s="4">
        <f>B24*$H$4</f>
      </c>
      <c r="D24" s="4">
        <f>B24*$E$3</f>
      </c>
      <c r="E24" s="4">
        <v>480</v>
      </c>
      <c r="F24" s="12">
        <v>10</v>
      </c>
      <c r="G24" s="12">
        <f>_xlfn.LAMBDA(m,n,k,(m*k+2*m*n+n*k)*1000*1000/$P$3/1024/1024/1024/1024/$M$5)(B24*$E$3,$S$10,$S$2)</f>
      </c>
      <c r="H24" s="12">
        <f>_xlfn.LAMBDA(m,n,k, 2*m*n*k*1000*1000/$P$2/1024/1024/1024/1024/$K$2)(B24*$E$3, $S$3*(128+64)/$H$3, $S$10)</f>
      </c>
      <c r="I24" s="12">
        <f>_xlfn.LAMBDA(m,n,k,(m*k+2*m*n+n*k)*1000*1000/$P$3/1024/1024/1024/1024/$M$5)(B24*$E$3, $S$3*(128+64)/$H$3, $S$10)</f>
      </c>
      <c r="J24" s="12">
        <v>15</v>
      </c>
      <c r="K24" s="12">
        <f>_xlfn.LAMBDA(m,n,k,(m*k+2*m*n+n*k)*1000*1000/$P$3/1024/1024/1024/1024/$M$5)(B24*$E$3,$S$11*$S$12,$S$10)</f>
      </c>
      <c r="L24" s="12">
        <v>15</v>
      </c>
      <c r="M24" s="12">
        <f>_xlfn.LAMBDA(m,n,k,(m*k+2*m*n+n*k)*1000*1000/$P$3/1024/1024/1024/1024/$M$5)(B24*$E$3,$S$11,$S$2)</f>
      </c>
      <c r="N24" s="12">
        <v>5</v>
      </c>
      <c r="O24" s="12">
        <f>_xlfn.LAMBDA(m,n,k,(2*m*k+2*m*n+2*n*k)*1000*1000/$P$3/1024/1024/1024/1024/$M$5)(B24*$E$3,$S$12,$S$2)</f>
      </c>
      <c r="P24" s="12">
        <f>_xlfn.LAMBDA(seq_len, q_len, bs, seq_len*q_len*bs*2*($S$12*$S$11/$P$5 + $S$12 / $P$7)*1000*1000/1024/1024/1024/1024/$M$6)(A24,$E$3,B24)</f>
      </c>
      <c r="Q24" s="12">
        <f>_xlfn.LAMBDA(seq_len, q_len, bs, (q_len*bs*$S$12*$S$11 + seq_len * bs * $S$11 + q_len*bs*$S$12*4)*1000*1000/1024/1024/1024/1024/$P$3/$M$5)(A24,$E$3,B24)</f>
      </c>
      <c r="R24" s="12">
        <f>_xlfn.LAMBDA(b, m,n,k, 2*b*m*n*k*1000*1000/$P$7/1024/1024/1024/1024/$K$2)($S$3, B24*$E$3, 128, $S$7)</f>
      </c>
      <c r="S24" s="12">
        <f>_xlfn.LAMBDA(b,m,n,k,b*(2*m*k+2*m*n+2*n*k)*1000*1000/$P$3/1024/1024/1024/1024/$M$5)($S$3, B24*$E$3, 128, $S$7)</f>
      </c>
      <c r="T24" s="12">
        <v>10</v>
      </c>
      <c r="U24" s="12">
        <f>_xlfn.LAMBDA(seq_len, q_len, bs, 2*seq_len*q_len*bs*2*$S$3/$H$3*($S$6 + $S$7)*1000*1000/1024/1024/1024/1024/$P$5/$M$6)(MIN(A24,2048),$E$3,B24)</f>
      </c>
      <c r="V24" s="12">
        <f>_xlfn.LAMBDA(seq_len, q_len, bs, seq_len*bs*($S$6 + $S$7)*1000*1000/1024/1024/1024/1024/$P$3/$M$5)(MIN(A24,2048),$E$3,B24)</f>
      </c>
      <c r="W24" s="12">
        <f>_xlfn.LAMBDA(b, m,n,k, 2*b*m*n*k*1000*1000/$P$7/1024/1024/1024/1024/$K$2)($S$3, B24*$E$3, 128, $S$7)</f>
      </c>
      <c r="X24" s="12">
        <f>_xlfn.LAMBDA(b,m,n,k,b*(2*m*k+2*m*n+2*n*k)*1000*1000/$P$3/1024/1024/1024/1024/$M$5)($S$3, B24*$E$3, 128, $S$7)</f>
      </c>
      <c r="Y24" s="12">
        <f>_xlfn.LAMBDA(m,n,k, 2*m*n*k*1000*1000/$P$2/1024/1024/1024/1024/$M$2)(B24*$E$3, $S$3*128/$H$3, $S$2)</f>
      </c>
      <c r="Z24" s="12">
        <f>_xlfn.LAMBDA(m,n,k,(m*k+2*m*n+n*k)*1000*1000/$P$3/1024/1024/1024/1024/$M$5)(B24*$E$3, $S$3*128/$H$3, $S$2)</f>
      </c>
      <c r="AA24" s="12">
        <f>150 + $B24 *$E$3 * 2.3</f>
      </c>
      <c r="AB24" s="12">
        <f>_xlfn.LAMBDA(tp_size, hidden_size, batch_size, 2*batch_size*(tp_size-1)/tp_size*hidden_size*1000*1000/$P$4/1024/1024/1024/$K$6)($H$3, $S$2,B24*$E$3)</f>
      </c>
      <c r="AC24" s="12">
        <f>_xlfn.LAMBDA(token_size_per_rank, to_nodes,hidden_size, sizeof_dtype, 50 + 4*token_size_per_rank * to_nodes * hidden_size*sizeof_dtype*1000*1000/$P$6/1024/1024/1024/$K$7)(B24*$E$5/$H$3, MIN($H$2,$U$2), $S$2, 1)</f>
      </c>
      <c r="AD24" s="12">
        <f>_xlfn.LAMBDA(m,n,k, 2*m*n*k*1000*1000/$P$2/1024/1024/1024/1024/$K$3)(E24*$U$2/$H$5,$S$8*2,$S$2)</f>
      </c>
      <c r="AE24" s="12">
        <f>_xlfn.LAMBDA(size_of_dtype, experts, ep_size, hidden_size, internal_dim, experts/ep_size*hidden_size*internal_dim*size_of_dtype/$P$3/$M$5/1024/1024/1024/1024*1000*1000)(0.5,$U$3,$H$5,$S$2,$S$8*2)</f>
      </c>
      <c r="AF24" s="12">
        <f>_xlfn.LAMBDA(m,n,k, 2*m*n*k*1000*1000/$P$2/1024/1024/1024/1024/$K$3)(E24*$U$2/$H$5,$S$2,$S$8)</f>
      </c>
      <c r="AG24" s="12">
        <f>_xlfn.LAMBDA(size_of_dtype, experts, ep_size, hidden_size, internal_dim, experts/ep_size*hidden_size*internal_dim*size_of_dtype/$P$3/$M$5/1024/1024/1024/1024*1000*1000)(0.5,$U$3,$H$5,$S$8, $S$2)</f>
      </c>
      <c r="AH24" s="12">
        <f>AC24</f>
      </c>
      <c r="AI24" s="12">
        <f>_xlfn.LAMBDA(tp_size, hidden_size, batch_size, batch_size*(tp_size-1)*hidden_size*1000*1000/$P$4/1024/1024/1024/$K$6)($H$3, $S$2,B24*$E$3)</f>
      </c>
      <c r="AJ24" s="12">
        <f>_xlfn.LAMBDA(seq_len, q_len, bs, 2*seq_len*q_len*bs*2*$S$3/$H$3*($S$6 + $S$7)*1000*1000/1024/1024/1024/1024/$P$5/$K$5)(A24,$E$3,B24)</f>
      </c>
      <c r="AK24" s="12">
        <f>_xlfn.LAMBDA(seq_len, q_len, bs, seq_len*bs*($S$6 + $S$7)*1000*1000/1024/1024/1024/1024/$P$3/$M$5)(A24,$E$3,B24)</f>
      </c>
      <c r="AL24" s="12">
        <f>MAX(F24:G24)+MAX(H24:I24)+MAX(J24:K24)+MAX(L24:M24)+MAX(N24:O24)+MAX(P24:Q24)+MAX(R24:S24)+MAX(T24:U24)+MAX(U24:V24)+MAX(W24:X24)+MAX(Y24:Z24)+MAX(AD24:AE24)+MAX(AF24:AG24)+SUM(AA24:AC24)+SUM(AH24:AI24)</f>
      </c>
      <c r="AM24" s="12">
        <f>AL24-MAX(L24:M24)-MAX(N24:O24)-MAX(P24:Q24)-MAX(J24:K24)-MAX(U24:V24)+MAX(AJ24:AK24)-0.05*AL24</f>
      </c>
      <c r="AN24" s="12">
        <f>(MAX(AD24:AE24)+MAX(AF24:AG24))/AL24</f>
      </c>
      <c r="AO24" s="12">
        <f>(MAX(AD24:AE24)+MAX(AF24:AG24))/AM24</f>
      </c>
      <c r="AP24" s="12">
        <f>MAX(U24:V24)/AL24</f>
      </c>
      <c r="AQ24" s="12">
        <f>MAX(AJ24:AK24)/AM24</f>
      </c>
      <c r="AR24" s="12">
        <f>AL24*$S$9/1000</f>
      </c>
      <c r="AS24" s="12">
        <f>AM24*$S$9/1000</f>
      </c>
      <c r="AT24" s="12">
        <f>(AR24+2)/$E$5</f>
      </c>
      <c r="AU24" s="12">
        <f>(AS24+2)/$E$5</f>
      </c>
      <c r="AV24" s="12">
        <f>B24*1000/AT24/$H$3</f>
      </c>
      <c r="AW24" s="12">
        <f>B24*1000/AU24/$H$3</f>
      </c>
      <c r="AX24" s="13">
        <f>1000000*$P$8/24/60/60/AV24</f>
      </c>
      <c r="AY24" s="13">
        <f>1000000*$P$8/24/60/60/AW24</f>
      </c>
      <c r="AZ24" s="13">
        <f>AX24*$E$6</f>
      </c>
      <c r="BA24" s="13">
        <f>AY24*$E$6</f>
      </c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</row>
    <row r="25">
      <c r="A25" s="4">
        <v>4096</v>
      </c>
      <c r="B25" s="4">
        <f>E25/$H$4/$E$3</f>
      </c>
      <c r="C25" s="4">
        <f>B25*$H$4</f>
      </c>
      <c r="D25" s="4">
        <f>B25*$E$3</f>
      </c>
      <c r="E25" s="4">
        <v>480</v>
      </c>
      <c r="F25" s="12">
        <v>10</v>
      </c>
      <c r="G25" s="12">
        <f>_xlfn.LAMBDA(m,n,k,(m*k+2*m*n+n*k)*1000*1000/$P$3/1024/1024/1024/1024/$M$5)(B25*$E$3,$S$10,$S$2)</f>
      </c>
      <c r="H25" s="12">
        <f>_xlfn.LAMBDA(m,n,k, 2*m*n*k*1000*1000/$P$2/1024/1024/1024/1024/$K$2)(B25*$E$3, $S$3*(128+64)/$H$3, $S$10)</f>
      </c>
      <c r="I25" s="12">
        <f>_xlfn.LAMBDA(m,n,k,(m*k+2*m*n+n*k)*1000*1000/$P$3/1024/1024/1024/1024/$M$5)(B25*$E$3, $S$3*(128+64)/$H$3, $S$10)</f>
      </c>
      <c r="J25" s="12">
        <v>15</v>
      </c>
      <c r="K25" s="12">
        <f>_xlfn.LAMBDA(m,n,k,(m*k+2*m*n+n*k)*1000*1000/$P$3/1024/1024/1024/1024/$M$5)(B25*$E$3,$S$11*$S$12,$S$10)</f>
      </c>
      <c r="L25" s="12">
        <v>15</v>
      </c>
      <c r="M25" s="12">
        <f>_xlfn.LAMBDA(m,n,k,(m*k+2*m*n+n*k)*1000*1000/$P$3/1024/1024/1024/1024/$M$5)(B25*$E$3,$S$11,$S$2)</f>
      </c>
      <c r="N25" s="12">
        <v>5</v>
      </c>
      <c r="O25" s="12">
        <f>_xlfn.LAMBDA(m,n,k,(2*m*k+2*m*n+2*n*k)*1000*1000/$P$3/1024/1024/1024/1024/$M$5)(B25*$E$3,$S$12,$S$2)</f>
      </c>
      <c r="P25" s="12">
        <f>_xlfn.LAMBDA(seq_len, q_len, bs, seq_len*q_len*bs*2*($S$12*$S$11/$P$5 + $S$12 / $P$7)*1000*1000/1024/1024/1024/1024/$M$6)(A25,$E$3,B25)</f>
      </c>
      <c r="Q25" s="12">
        <f>_xlfn.LAMBDA(seq_len, q_len, bs, (q_len*bs*$S$12*$S$11 + seq_len * bs * $S$11 + q_len*bs*$S$12*4)*1000*1000/1024/1024/1024/1024/$P$3/$M$5)(A25,$E$3,B25)</f>
      </c>
      <c r="R25" s="12">
        <f>_xlfn.LAMBDA(b, m,n,k, 2*b*m*n*k*1000*1000/$P$7/1024/1024/1024/1024/$K$2)($S$3, B25*$E$3, 128, $S$7)</f>
      </c>
      <c r="S25" s="12">
        <f>_xlfn.LAMBDA(b,m,n,k,b*(2*m*k+2*m*n+2*n*k)*1000*1000/$P$3/1024/1024/1024/1024/$M$5)($S$3, B25*$E$3, 128, $S$7)</f>
      </c>
      <c r="T25" s="12">
        <v>10</v>
      </c>
      <c r="U25" s="12">
        <f>_xlfn.LAMBDA(seq_len, q_len, bs, 2*seq_len*q_len*bs*2*$S$3/$H$3*($S$6 + $S$7)*1000*1000/1024/1024/1024/1024/$P$5/$M$6)(MIN(A25,2048),$E$3,B25)</f>
      </c>
      <c r="V25" s="12">
        <f>_xlfn.LAMBDA(seq_len, q_len, bs, seq_len*bs*($S$6 + $S$7)*1000*1000/1024/1024/1024/1024/$P$3/$M$5)(MIN(A25,2048),$E$3,B25)</f>
      </c>
      <c r="W25" s="12">
        <f>_xlfn.LAMBDA(b, m,n,k, 2*b*m*n*k*1000*1000/$P$7/1024/1024/1024/1024/$K$2)($S$3, B25*$E$3, 128, $S$7)</f>
      </c>
      <c r="X25" s="12">
        <f>_xlfn.LAMBDA(b,m,n,k,b*(2*m*k+2*m*n+2*n*k)*1000*1000/$P$3/1024/1024/1024/1024/$M$5)($S$3, B25*$E$3, 128, $S$7)</f>
      </c>
      <c r="Y25" s="12">
        <f>_xlfn.LAMBDA(m,n,k, 2*m*n*k*1000*1000/$P$2/1024/1024/1024/1024/$M$2)(B25*$E$3, $S$3*128/$H$3, $S$2)</f>
      </c>
      <c r="Z25" s="12">
        <f>_xlfn.LAMBDA(m,n,k,(m*k+2*m*n+n*k)*1000*1000/$P$3/1024/1024/1024/1024/$M$5)(B25*$E$3, $S$3*128/$H$3, $S$2)</f>
      </c>
      <c r="AA25" s="12">
        <f>150 + $B25 *$E$3 * 2.3</f>
      </c>
      <c r="AB25" s="12">
        <f>_xlfn.LAMBDA(tp_size, hidden_size, batch_size, 2*batch_size*(tp_size-1)/tp_size*hidden_size*1000*1000/$P$4/1024/1024/1024/$K$6)($H$3, $S$2,B25*$E$3)</f>
      </c>
      <c r="AC25" s="12">
        <f>_xlfn.LAMBDA(token_size_per_rank, to_nodes,hidden_size, sizeof_dtype, 50 + 4*token_size_per_rank * to_nodes * hidden_size*sizeof_dtype*1000*1000/$P$6/1024/1024/1024/$K$7)(B25*$E$5/$H$3, MIN($H$2,$U$2), $S$2, 1)</f>
      </c>
      <c r="AD25" s="12">
        <f>_xlfn.LAMBDA(m,n,k, 2*m*n*k*1000*1000/$P$2/1024/1024/1024/1024/$K$3)(E25*$U$2/$H$5,$S$8*2,$S$2)</f>
      </c>
      <c r="AE25" s="12">
        <f>_xlfn.LAMBDA(size_of_dtype, experts, ep_size, hidden_size, internal_dim, experts/ep_size*hidden_size*internal_dim*size_of_dtype/$P$3/$M$5/1024/1024/1024/1024*1000*1000)(0.5,$U$3,$H$5,$S$2,$S$8*2)</f>
      </c>
      <c r="AF25" s="12">
        <f>_xlfn.LAMBDA(m,n,k, 2*m*n*k*1000*1000/$P$2/1024/1024/1024/1024/$K$3)(E25*$U$2/$H$5,$S$2,$S$8)</f>
      </c>
      <c r="AG25" s="12">
        <f>_xlfn.LAMBDA(size_of_dtype, experts, ep_size, hidden_size, internal_dim, experts/ep_size*hidden_size*internal_dim*size_of_dtype/$P$3/$M$5/1024/1024/1024/1024*1000*1000)(0.5,$U$3,$H$5,$S$8, $S$2)</f>
      </c>
      <c r="AH25" s="12">
        <f>AC25</f>
      </c>
      <c r="AI25" s="12">
        <f>_xlfn.LAMBDA(tp_size, hidden_size, batch_size, batch_size*(tp_size-1)*hidden_size*1000*1000/$P$4/1024/1024/1024/$K$6)($H$3, $S$2,B25*$E$3)</f>
      </c>
      <c r="AJ25" s="12">
        <f>_xlfn.LAMBDA(seq_len, q_len, bs, 2*seq_len*q_len*bs*2*$S$3/$H$3*($S$6 + $S$7)*1000*1000/1024/1024/1024/1024/$P$5/$K$5)(A25,$E$3,B25)</f>
      </c>
      <c r="AK25" s="12">
        <f>_xlfn.LAMBDA(seq_len, q_len, bs, seq_len*bs*($S$6 + $S$7)*1000*1000/1024/1024/1024/1024/$P$3/$M$5)(A25,$E$3,B25)</f>
      </c>
      <c r="AL25" s="12">
        <f>MAX(F25:G25)+MAX(H25:I25)+MAX(J25:K25)+MAX(L25:M25)+MAX(N25:O25)+MAX(P25:Q25)+MAX(R25:S25)+MAX(T25:U25)+MAX(U25:V25)+MAX(W25:X25)+MAX(Y25:Z25)+MAX(AD25:AE25)+MAX(AF25:AG25)+SUM(AA25:AC25)+SUM(AH25:AI25)</f>
      </c>
      <c r="AM25" s="12">
        <f>AL25-MAX(L25:M25)-MAX(N25:O25)-MAX(P25:Q25)-MAX(J25:K25)-MAX(U25:V25)+MAX(AJ25:AK25)-0.05*AL25</f>
      </c>
      <c r="AN25" s="12">
        <f>(MAX(AD25:AE25)+MAX(AF25:AG25))/AL25</f>
      </c>
      <c r="AO25" s="12">
        <f>(MAX(AD25:AE25)+MAX(AF25:AG25))/AM25</f>
      </c>
      <c r="AP25" s="12">
        <f>MAX(U25:V25)/AL25</f>
      </c>
      <c r="AQ25" s="12">
        <f>MAX(AJ25:AK25)/AM25</f>
      </c>
      <c r="AR25" s="12">
        <f>AL25*$S$9/1000</f>
      </c>
      <c r="AS25" s="12">
        <f>AM25*$S$9/1000</f>
      </c>
      <c r="AT25" s="12">
        <f>(AR25+2)/$E$5</f>
      </c>
      <c r="AU25" s="12">
        <f>(AS25+2)/$E$5</f>
      </c>
      <c r="AV25" s="12">
        <f>B25*1000/AT25/$H$3</f>
      </c>
      <c r="AW25" s="12">
        <f>B25*1000/AU25/$H$3</f>
      </c>
      <c r="AX25" s="13">
        <f>1000000*$P$8/24/60/60/AV25</f>
      </c>
      <c r="AY25" s="13">
        <f>1000000*$P$8/24/60/60/AW25</f>
      </c>
      <c r="AZ25" s="13">
        <f>AX25*$E$6</f>
      </c>
      <c r="BA25" s="13">
        <f>AY25*$E$6</f>
      </c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</row>
    <row r="26">
      <c r="A26" s="4">
        <v>8192</v>
      </c>
      <c r="B26" s="4">
        <f>E26/$H$4/$E$3</f>
      </c>
      <c r="C26" s="4">
        <f>B26*$H$4</f>
      </c>
      <c r="D26" s="4">
        <f>B26*$E$3</f>
      </c>
      <c r="E26" s="4">
        <v>480</v>
      </c>
      <c r="F26" s="12">
        <v>10</v>
      </c>
      <c r="G26" s="12">
        <f>_xlfn.LAMBDA(m,n,k,(m*k+2*m*n+n*k)*1000*1000/$P$3/1024/1024/1024/1024/$M$5)(B26*$E$3,$S$10,$S$2)</f>
      </c>
      <c r="H26" s="12">
        <f>_xlfn.LAMBDA(m,n,k, 2*m*n*k*1000*1000/$P$2/1024/1024/1024/1024/$K$2)(B26*$E$3, $S$3*(128+64)/$H$3, $S$10)</f>
      </c>
      <c r="I26" s="12">
        <f>_xlfn.LAMBDA(m,n,k,(m*k+2*m*n+n*k)*1000*1000/$P$3/1024/1024/1024/1024/$M$5)(B26*$E$3, $S$3*(128+64)/$H$3, $S$10)</f>
      </c>
      <c r="J26" s="12">
        <v>15</v>
      </c>
      <c r="K26" s="12">
        <f>_xlfn.LAMBDA(m,n,k,(m*k+2*m*n+n*k)*1000*1000/$P$3/1024/1024/1024/1024/$M$5)(B26*$E$3,$S$11*$S$12,$S$10)</f>
      </c>
      <c r="L26" s="12">
        <v>15</v>
      </c>
      <c r="M26" s="12">
        <f>_xlfn.LAMBDA(m,n,k,(m*k+2*m*n+n*k)*1000*1000/$P$3/1024/1024/1024/1024/$M$5)(B26*$E$3,$S$11,$S$2)</f>
      </c>
      <c r="N26" s="12">
        <v>5</v>
      </c>
      <c r="O26" s="12">
        <f>_xlfn.LAMBDA(m,n,k,(2*m*k+2*m*n+2*n*k)*1000*1000/$P$3/1024/1024/1024/1024/$M$5)(B26*$E$3,$S$12,$S$2)</f>
      </c>
      <c r="P26" s="12">
        <f>_xlfn.LAMBDA(seq_len, q_len, bs, seq_len*q_len*bs*2*($S$12*$S$11/$P$5 + $S$12 / $P$7)*1000*1000/1024/1024/1024/1024/$M$6)(A26,$E$3,B26)</f>
      </c>
      <c r="Q26" s="12">
        <f>_xlfn.LAMBDA(seq_len, q_len, bs, (q_len*bs*$S$12*$S$11 + seq_len * bs * $S$11 + q_len*bs*$S$12*4)*1000*1000/1024/1024/1024/1024/$P$3/$M$5)(A26,$E$3,B26)</f>
      </c>
      <c r="R26" s="12">
        <f>_xlfn.LAMBDA(b, m,n,k, 2*b*m*n*k*1000*1000/$P$7/1024/1024/1024/1024/$K$2)($S$3, B26*$E$3, 128, $S$7)</f>
      </c>
      <c r="S26" s="12">
        <f>_xlfn.LAMBDA(b,m,n,k,b*(2*m*k+2*m*n+2*n*k)*1000*1000/$P$3/1024/1024/1024/1024/$M$5)($S$3, B26*$E$3, 128, $S$7)</f>
      </c>
      <c r="T26" s="12">
        <v>10</v>
      </c>
      <c r="U26" s="12">
        <f>_xlfn.LAMBDA(seq_len, q_len, bs, 2*seq_len*q_len*bs*2*$S$3/$H$3*($S$6 + $S$7)*1000*1000/1024/1024/1024/1024/$P$5/$M$6)(MIN(A26,2048),$E$3,B26)</f>
      </c>
      <c r="V26" s="12">
        <f>_xlfn.LAMBDA(seq_len, q_len, bs, seq_len*bs*($S$6 + $S$7)*1000*1000/1024/1024/1024/1024/$P$3/$M$5)(MIN(A26,2048),$E$3,B26)</f>
      </c>
      <c r="W26" s="12">
        <f>_xlfn.LAMBDA(b, m,n,k, 2*b*m*n*k*1000*1000/$P$7/1024/1024/1024/1024/$K$2)($S$3, B26*$E$3, 128, $S$7)</f>
      </c>
      <c r="X26" s="12">
        <f>_xlfn.LAMBDA(b,m,n,k,b*(2*m*k+2*m*n+2*n*k)*1000*1000/$P$3/1024/1024/1024/1024/$M$5)($S$3, B26*$E$3, 128, $S$7)</f>
      </c>
      <c r="Y26" s="12">
        <f>_xlfn.LAMBDA(m,n,k, 2*m*n*k*1000*1000/$P$2/1024/1024/1024/1024/$M$2)(B26*$E$3, $S$3*128/$H$3, $S$2)</f>
      </c>
      <c r="Z26" s="12">
        <f>_xlfn.LAMBDA(m,n,k,(m*k+2*m*n+n*k)*1000*1000/$P$3/1024/1024/1024/1024/$M$5)(B26*$E$3, $S$3*128/$H$3, $S$2)</f>
      </c>
      <c r="AA26" s="12">
        <f>150 + $B26 *$E$3 * 2.3</f>
      </c>
      <c r="AB26" s="12">
        <f>_xlfn.LAMBDA(tp_size, hidden_size, batch_size, 2*batch_size*(tp_size-1)/tp_size*hidden_size*1000*1000/$P$4/1024/1024/1024/$K$6)($H$3, $S$2,B26*$E$3)</f>
      </c>
      <c r="AC26" s="12">
        <f>_xlfn.LAMBDA(token_size_per_rank, to_nodes,hidden_size, sizeof_dtype, 50 + 4*token_size_per_rank * to_nodes * hidden_size*sizeof_dtype*1000*1000/$P$6/1024/1024/1024/$K$7)(B26*$E$5/$H$3, MIN($H$2,$U$2), $S$2, 1)</f>
      </c>
      <c r="AD26" s="12">
        <f>_xlfn.LAMBDA(m,n,k, 2*m*n*k*1000*1000/$P$2/1024/1024/1024/1024/$K$3)(E26*$U$2/$H$5,$S$8*2,$S$2)</f>
      </c>
      <c r="AE26" s="12">
        <f>_xlfn.LAMBDA(size_of_dtype, experts, ep_size, hidden_size, internal_dim, experts/ep_size*hidden_size*internal_dim*size_of_dtype/$P$3/$M$5/1024/1024/1024/1024*1000*1000)(0.5,$U$3,$H$5,$S$2,$S$8*2)</f>
      </c>
      <c r="AF26" s="12">
        <f>_xlfn.LAMBDA(m,n,k, 2*m*n*k*1000*1000/$P$2/1024/1024/1024/1024/$K$3)(E26*$U$2/$H$5,$S$2,$S$8)</f>
      </c>
      <c r="AG26" s="12">
        <f>_xlfn.LAMBDA(size_of_dtype, experts, ep_size, hidden_size, internal_dim, experts/ep_size*hidden_size*internal_dim*size_of_dtype/$P$3/$M$5/1024/1024/1024/1024*1000*1000)(0.5,$U$3,$H$5,$S$8, $S$2)</f>
      </c>
      <c r="AH26" s="12">
        <f>AC26</f>
      </c>
      <c r="AI26" s="12">
        <f>_xlfn.LAMBDA(tp_size, hidden_size, batch_size, batch_size*(tp_size-1)*hidden_size*1000*1000/$P$4/1024/1024/1024/$K$6)($H$3, $S$2,B26*$E$3)</f>
      </c>
      <c r="AJ26" s="12">
        <f>_xlfn.LAMBDA(seq_len, q_len, bs, 2*seq_len*q_len*bs*2*$S$3/$H$3*($S$6 + $S$7)*1000*1000/1024/1024/1024/1024/$P$5/$K$5)(A26,$E$3,B26)</f>
      </c>
      <c r="AK26" s="12">
        <f>_xlfn.LAMBDA(seq_len, q_len, bs, seq_len*bs*($S$6 + $S$7)*1000*1000/1024/1024/1024/1024/$P$3/$M$5)(A26,$E$3,B26)</f>
      </c>
      <c r="AL26" s="12">
        <f>MAX(F26:G26)+MAX(H26:I26)+MAX(J26:K26)+MAX(L26:M26)+MAX(N26:O26)+MAX(P26:Q26)+MAX(R26:S26)+MAX(T26:U26)+MAX(U26:V26)+MAX(W26:X26)+MAX(Y26:Z26)+MAX(AD26:AE26)+MAX(AF26:AG26)+SUM(AA26:AC26)+SUM(AH26:AI26)</f>
      </c>
      <c r="AM26" s="12">
        <f>AL26-MAX(L26:M26)-MAX(N26:O26)-MAX(P26:Q26)-MAX(J26:K26)-MAX(U26:V26)+MAX(AJ26:AK26)-0.05*AL26</f>
      </c>
      <c r="AN26" s="12">
        <f>(MAX(AD26:AE26)+MAX(AF26:AG26))/AL26</f>
      </c>
      <c r="AO26" s="12">
        <f>(MAX(AD26:AE26)+MAX(AF26:AG26))/AM26</f>
      </c>
      <c r="AP26" s="12">
        <f>MAX(U26:V26)/AL26</f>
      </c>
      <c r="AQ26" s="12">
        <f>MAX(AJ26:AK26)/AM26</f>
      </c>
      <c r="AR26" s="12">
        <f>AL26*$S$9/1000</f>
      </c>
      <c r="AS26" s="12">
        <f>AM26*$S$9/1000</f>
      </c>
      <c r="AT26" s="12">
        <f>(AR26+2)/$E$5</f>
      </c>
      <c r="AU26" s="12">
        <f>(AS26+2)/$E$5</f>
      </c>
      <c r="AV26" s="12">
        <f>B26*1000/AT26/$H$3</f>
      </c>
      <c r="AW26" s="12">
        <f>B26*1000/AU26/$H$3</f>
      </c>
      <c r="AX26" s="13">
        <f>1000000*$P$8/24/60/60/AV26</f>
      </c>
      <c r="AY26" s="13">
        <f>1000000*$P$8/24/60/60/AW26</f>
      </c>
      <c r="AZ26" s="13">
        <f>AX26*$E$6</f>
      </c>
      <c r="BA26" s="13">
        <f>AY26*$E$6</f>
      </c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</row>
    <row r="27">
      <c r="A27" s="4">
        <v>10240</v>
      </c>
      <c r="B27" s="4">
        <f>E27/$H$4/$E$3</f>
      </c>
      <c r="C27" s="4">
        <f>B27*$H$4</f>
      </c>
      <c r="D27" s="4">
        <f>B27*$E$3</f>
      </c>
      <c r="E27" s="4">
        <v>320</v>
      </c>
      <c r="F27" s="12">
        <v>10</v>
      </c>
      <c r="G27" s="12">
        <f>_xlfn.LAMBDA(m,n,k,(m*k+2*m*n+n*k)*1000*1000/$P$3/1024/1024/1024/1024/$M$5)(B27*$E$3,$S$10,$S$2)</f>
      </c>
      <c r="H27" s="12">
        <f>_xlfn.LAMBDA(m,n,k, 2*m*n*k*1000*1000/$P$2/1024/1024/1024/1024/$K$2)(B27*$E$3, $S$3*(128+64)/$H$3, $S$10)</f>
      </c>
      <c r="I27" s="12">
        <f>_xlfn.LAMBDA(m,n,k,(m*k+2*m*n+n*k)*1000*1000/$P$3/1024/1024/1024/1024/$M$5)(B27*$E$3, $S$3*(128+64)/$H$3, $S$10)</f>
      </c>
      <c r="J27" s="12">
        <v>15</v>
      </c>
      <c r="K27" s="12">
        <f>_xlfn.LAMBDA(m,n,k,(m*k+2*m*n+n*k)*1000*1000/$P$3/1024/1024/1024/1024/$M$5)(B27*$E$3,$S$11*$S$12,$S$10)</f>
      </c>
      <c r="L27" s="12">
        <v>15</v>
      </c>
      <c r="M27" s="12">
        <f>_xlfn.LAMBDA(m,n,k,(m*k+2*m*n+n*k)*1000*1000/$P$3/1024/1024/1024/1024/$M$5)(B27*$E$3,$S$11,$S$2)</f>
      </c>
      <c r="N27" s="12">
        <v>5</v>
      </c>
      <c r="O27" s="12">
        <f>_xlfn.LAMBDA(m,n,k,(2*m*k+2*m*n+2*n*k)*1000*1000/$P$3/1024/1024/1024/1024/$M$5)(B27*$E$3,$S$12,$S$2)</f>
      </c>
      <c r="P27" s="12">
        <f>_xlfn.LAMBDA(seq_len, q_len, bs, seq_len*q_len*bs*2*($S$12*$S$11/$P$5 + $S$12 / $P$7)*1000*1000/1024/1024/1024/1024/$M$6)(A27,$E$3,B27)</f>
      </c>
      <c r="Q27" s="12">
        <f>_xlfn.LAMBDA(seq_len, q_len, bs, (q_len*bs*$S$12*$S$11 + seq_len * bs * $S$11 + q_len*bs*$S$12*4)*1000*1000/1024/1024/1024/1024/$P$3/$M$5)(A27,$E$3,B27)</f>
      </c>
      <c r="R27" s="12">
        <f>_xlfn.LAMBDA(b, m,n,k, 2*b*m*n*k*1000*1000/$P$7/1024/1024/1024/1024/$K$2)($S$3, B27*$E$3, 128, $S$7)</f>
      </c>
      <c r="S27" s="12">
        <f>_xlfn.LAMBDA(b,m,n,k,b*(2*m*k+2*m*n+2*n*k)*1000*1000/$P$3/1024/1024/1024/1024/$M$5)($S$3, B27*$E$3, 128, $S$7)</f>
      </c>
      <c r="T27" s="12">
        <v>10</v>
      </c>
      <c r="U27" s="12">
        <f>_xlfn.LAMBDA(seq_len, q_len, bs, 2*seq_len*q_len*bs*2*$S$3/$H$3*($S$6 + $S$7)*1000*1000/1024/1024/1024/1024/$P$5/$M$6)(MIN(A27,2048),$E$3,B27)</f>
      </c>
      <c r="V27" s="12">
        <f>_xlfn.LAMBDA(seq_len, q_len, bs, seq_len*bs*($S$6 + $S$7)*1000*1000/1024/1024/1024/1024/$P$3/$M$5)(MIN(A27,2048),$E$3,B27)</f>
      </c>
      <c r="W27" s="12">
        <f>_xlfn.LAMBDA(b, m,n,k, 2*b*m*n*k*1000*1000/$P$7/1024/1024/1024/1024/$K$2)($S$3, B27*$E$3, 128, $S$7)</f>
      </c>
      <c r="X27" s="12">
        <f>_xlfn.LAMBDA(b,m,n,k,b*(2*m*k+2*m*n+2*n*k)*1000*1000/$P$3/1024/1024/1024/1024/$M$5)($S$3, B27*$E$3, 128, $S$7)</f>
      </c>
      <c r="Y27" s="12">
        <f>_xlfn.LAMBDA(m,n,k, 2*m*n*k*1000*1000/$P$2/1024/1024/1024/1024/$M$2)(B27*$E$3, $S$3*128/$H$3, $S$2)</f>
      </c>
      <c r="Z27" s="12">
        <f>_xlfn.LAMBDA(m,n,k,(m*k+2*m*n+n*k)*1000*1000/$P$3/1024/1024/1024/1024/$M$5)(B27*$E$3, $S$3*128/$H$3, $S$2)</f>
      </c>
      <c r="AA27" s="12">
        <f>150 + $B27 *$E$3 * 2.3</f>
      </c>
      <c r="AB27" s="12">
        <f>_xlfn.LAMBDA(tp_size, hidden_size, batch_size, 2*batch_size*(tp_size-1)/tp_size*hidden_size*1000*1000/$P$4/1024/1024/1024/$K$6)($H$3, $S$2,B27*$E$3)</f>
      </c>
      <c r="AC27" s="12">
        <f>_xlfn.LAMBDA(token_size_per_rank, to_nodes,hidden_size, sizeof_dtype, 50 + 4*token_size_per_rank * to_nodes * hidden_size*sizeof_dtype*1000*1000/$P$6/1024/1024/1024/$K$7)(B27*$E$5/$H$3, MIN($H$2,$U$2), $S$2, 1)</f>
      </c>
      <c r="AD27" s="12">
        <f>_xlfn.LAMBDA(m,n,k, 2*m*n*k*1000*1000/$P$2/1024/1024/1024/1024/$K$3)(E27*$U$2/$H$5,$S$8*2,$S$2)</f>
      </c>
      <c r="AE27" s="12">
        <f>_xlfn.LAMBDA(size_of_dtype, experts, ep_size, hidden_size, internal_dim, experts/ep_size*hidden_size*internal_dim*size_of_dtype/$P$3/$M$5/1024/1024/1024/1024*1000*1000)(0.5,$U$3,$H$5,$S$2,$S$8*2)</f>
      </c>
      <c r="AF27" s="12">
        <f>_xlfn.LAMBDA(m,n,k, 2*m*n*k*1000*1000/$P$2/1024/1024/1024/1024/$K$3)(E27*$U$2/$H$5,$S$2,$S$8)</f>
      </c>
      <c r="AG27" s="12">
        <f>_xlfn.LAMBDA(size_of_dtype, experts, ep_size, hidden_size, internal_dim, experts/ep_size*hidden_size*internal_dim*size_of_dtype/$P$3/$M$5/1024/1024/1024/1024*1000*1000)(0.5,$U$3,$H$5,$S$8, $S$2)</f>
      </c>
      <c r="AH27" s="12">
        <f>AC27</f>
      </c>
      <c r="AI27" s="12">
        <f>_xlfn.LAMBDA(tp_size, hidden_size, batch_size, batch_size*(tp_size-1)*hidden_size*1000*1000/$P$4/1024/1024/1024/$K$6)($H$3, $S$2,B27*$E$3)</f>
      </c>
      <c r="AJ27" s="12">
        <f>_xlfn.LAMBDA(seq_len, q_len, bs, 2*seq_len*q_len*bs*2*$S$3/$H$3*($S$6 + $S$7)*1000*1000/1024/1024/1024/1024/$P$5/$K$5)(A27,$E$3,B27)</f>
      </c>
      <c r="AK27" s="12">
        <f>_xlfn.LAMBDA(seq_len, q_len, bs, seq_len*bs*($S$6 + $S$7)*1000*1000/1024/1024/1024/1024/$P$3/$M$5)(A27,$E$3,B27)</f>
      </c>
      <c r="AL27" s="12">
        <f>MAX(F27:G27)+MAX(H27:I27)+MAX(J27:K27)+MAX(L27:M27)+MAX(N27:O27)+MAX(P27:Q27)+MAX(R27:S27)+MAX(T27:U27)+MAX(U27:V27)+MAX(W27:X27)+MAX(Y27:Z27)+MAX(AD27:AE27)+MAX(AF27:AG27)+SUM(AA27:AC27)+SUM(AH27:AI27)</f>
      </c>
      <c r="AM27" s="12">
        <f>AL27-MAX(L27:M27)-MAX(N27:O27)-MAX(P27:Q27)-MAX(J27:K27)-MAX(U27:V27)+MAX(AJ27:AK27)-0.05*AL27</f>
      </c>
      <c r="AN27" s="12">
        <f>(MAX(AD27:AE27)+MAX(AF27:AG27))/AL27</f>
      </c>
      <c r="AO27" s="12">
        <f>(MAX(AD27:AE27)+MAX(AF27:AG27))/AM27</f>
      </c>
      <c r="AP27" s="12">
        <f>MAX(U27:V27)/AL27</f>
      </c>
      <c r="AQ27" s="12">
        <f>MAX(AJ27:AK27)/AM27</f>
      </c>
      <c r="AR27" s="12">
        <f>AL27*$S$9/1000</f>
      </c>
      <c r="AS27" s="12">
        <f>AM27*$S$9/1000</f>
      </c>
      <c r="AT27" s="12">
        <f>(AR27+2)/$E$5</f>
      </c>
      <c r="AU27" s="12">
        <f>(AS27+2)/$E$5</f>
      </c>
      <c r="AV27" s="12">
        <f>B27*1000/AT27/$H$3</f>
      </c>
      <c r="AW27" s="12">
        <f>B27*1000/AU27/$H$3</f>
      </c>
      <c r="AX27" s="13">
        <f>1000000*$P$8/24/60/60/AV27</f>
      </c>
      <c r="AY27" s="13">
        <f>1000000*$P$8/24/60/60/AW27</f>
      </c>
      <c r="AZ27" s="13">
        <f>AX27*$E$6</f>
      </c>
      <c r="BA27" s="13">
        <f>AY27*$E$6</f>
      </c>
      <c r="BB27" s="13"/>
      <c r="BC27" s="13"/>
      <c r="BD27" s="4"/>
      <c r="BE27" s="4"/>
      <c r="BF27" s="4"/>
      <c r="BG27" s="4"/>
      <c r="BH27" s="4"/>
      <c r="BI27" s="4"/>
      <c r="BJ27" s="4"/>
      <c r="BK27" s="4"/>
      <c r="BL27" s="4"/>
      <c r="BM27" s="4"/>
    </row>
    <row r="28">
      <c r="A28" s="4">
        <v>16384</v>
      </c>
      <c r="B28" s="4">
        <f>E28/$H$4/$E$3</f>
      </c>
      <c r="C28" s="4">
        <f>B28*$H$4</f>
      </c>
      <c r="D28" s="4">
        <f>B28*$E$3</f>
      </c>
      <c r="E28" s="4">
        <v>480</v>
      </c>
      <c r="F28" s="12">
        <v>10</v>
      </c>
      <c r="G28" s="12">
        <f>_xlfn.LAMBDA(m,n,k,(m*k+2*m*n+n*k)*1000*1000/$P$3/1024/1024/1024/1024/$M$5)(B28*$E$3,$S$10,$S$2)</f>
      </c>
      <c r="H28" s="12">
        <f>_xlfn.LAMBDA(m,n,k, 2*m*n*k*1000*1000/$P$2/1024/1024/1024/1024/$K$2)(B28*$E$3, $S$3*(128+64)/$H$3, $S$10)</f>
      </c>
      <c r="I28" s="12">
        <f>_xlfn.LAMBDA(m,n,k,(m*k+2*m*n+n*k)*1000*1000/$P$3/1024/1024/1024/1024/$M$5)(B28*$E$3, $S$3*(128+64)/$H$3, $S$10)</f>
      </c>
      <c r="J28" s="12">
        <v>15</v>
      </c>
      <c r="K28" s="12">
        <f>_xlfn.LAMBDA(m,n,k,(m*k+2*m*n+n*k)*1000*1000/$P$3/1024/1024/1024/1024/$M$5)(B28*$E$3,$S$11*$S$12,$S$10)</f>
      </c>
      <c r="L28" s="12">
        <v>15</v>
      </c>
      <c r="M28" s="12">
        <f>_xlfn.LAMBDA(m,n,k,(m*k+2*m*n+n*k)*1000*1000/$P$3/1024/1024/1024/1024/$M$5)(B28*$E$3,$S$11,$S$2)</f>
      </c>
      <c r="N28" s="12">
        <v>5</v>
      </c>
      <c r="O28" s="12">
        <f>_xlfn.LAMBDA(m,n,k,(2*m*k+2*m*n+2*n*k)*1000*1000/$P$3/1024/1024/1024/1024/$M$5)(B28*$E$3,$S$12,$S$2)</f>
      </c>
      <c r="P28" s="12">
        <f>_xlfn.LAMBDA(seq_len, q_len, bs, seq_len*q_len*bs*2*($S$12*$S$11/$P$5 + $S$12 / $P$7)*1000*1000/1024/1024/1024/1024/$M$6)(A28,$E$3,B28)</f>
      </c>
      <c r="Q28" s="12">
        <f>_xlfn.LAMBDA(seq_len, q_len, bs, (q_len*bs*$S$12*$S$11 + seq_len * bs * $S$11 + q_len*bs*$S$12*4)*1000*1000/1024/1024/1024/1024/$P$3/$M$5)(A28,$E$3,B28)</f>
      </c>
      <c r="R28" s="12">
        <f>_xlfn.LAMBDA(b, m,n,k, 2*b*m*n*k*1000*1000/$P$7/1024/1024/1024/1024/$K$2)($S$3, B28*$E$3, 128, $S$7)</f>
      </c>
      <c r="S28" s="12">
        <f>_xlfn.LAMBDA(b,m,n,k,b*(2*m*k+2*m*n+2*n*k)*1000*1000/$P$3/1024/1024/1024/1024/$M$5)($S$3, B28*$E$3, 128, $S$7)</f>
      </c>
      <c r="T28" s="12">
        <v>10</v>
      </c>
      <c r="U28" s="12">
        <f>_xlfn.LAMBDA(seq_len, q_len, bs, 2*seq_len*q_len*bs*2*$S$3/$H$3*($S$6 + $S$7)*1000*1000/1024/1024/1024/1024/$P$5/$M$6)(MIN(A28,2048),$E$3,B28)</f>
      </c>
      <c r="V28" s="12">
        <f>_xlfn.LAMBDA(seq_len, q_len, bs, seq_len*bs*($S$6 + $S$7)*1000*1000/1024/1024/1024/1024/$P$3/$M$5)(MIN(A28,2048),$E$3,B28)</f>
      </c>
      <c r="W28" s="12">
        <f>_xlfn.LAMBDA(b, m,n,k, 2*b*m*n*k*1000*1000/$P$7/1024/1024/1024/1024/$K$2)($S$3, B28*$E$3, 128, $S$7)</f>
      </c>
      <c r="X28" s="12">
        <f>_xlfn.LAMBDA(b,m,n,k,b*(2*m*k+2*m*n+2*n*k)*1000*1000/$P$3/1024/1024/1024/1024/$M$5)($S$3, B28*$E$3, 128, $S$7)</f>
      </c>
      <c r="Y28" s="12">
        <f>_xlfn.LAMBDA(m,n,k, 2*m*n*k*1000*1000/$P$2/1024/1024/1024/1024/$M$2)(B28*$E$3, $S$3*128/$H$3, $S$2)</f>
      </c>
      <c r="Z28" s="12">
        <f>_xlfn.LAMBDA(m,n,k,(m*k+2*m*n+n*k)*1000*1000/$P$3/1024/1024/1024/1024/$M$5)(B28*$E$3, $S$3*128/$H$3, $S$2)</f>
      </c>
      <c r="AA28" s="12">
        <f>150 + $B28 *$E$3 * 2.3</f>
      </c>
      <c r="AB28" s="12">
        <f>_xlfn.LAMBDA(tp_size, hidden_size, batch_size, 2*batch_size*(tp_size-1)/tp_size*hidden_size*1000*1000/$P$4/1024/1024/1024/$K$6)($H$3, $S$2,B28*$E$3)</f>
      </c>
      <c r="AC28" s="12">
        <f>_xlfn.LAMBDA(token_size_per_rank, to_nodes,hidden_size, sizeof_dtype, 50 + 4*token_size_per_rank * to_nodes * hidden_size*sizeof_dtype*1000*1000/$P$6/1024/1024/1024/$K$7)(B28*$E$5/$H$3, MIN($H$2,$U$2), $S$2, 1)</f>
      </c>
      <c r="AD28" s="12">
        <f>_xlfn.LAMBDA(m,n,k, 2*m*n*k*1000*1000/$P$2/1024/1024/1024/1024/$K$3)(E28*$U$2/$H$5,$S$8*2,$S$2)</f>
      </c>
      <c r="AE28" s="12">
        <f>_xlfn.LAMBDA(size_of_dtype, experts, ep_size, hidden_size, internal_dim, experts/ep_size*hidden_size*internal_dim*size_of_dtype/$P$3/$M$5/1024/1024/1024/1024*1000*1000)(0.5,$U$3,$H$5,$S$2,$S$8*2)</f>
      </c>
      <c r="AF28" s="12">
        <f>_xlfn.LAMBDA(m,n,k, 2*m*n*k*1000*1000/$P$2/1024/1024/1024/1024/$K$3)(E28*$U$2/$H$5,$S$2,$S$8)</f>
      </c>
      <c r="AG28" s="12">
        <f>_xlfn.LAMBDA(size_of_dtype, experts, ep_size, hidden_size, internal_dim, experts/ep_size*hidden_size*internal_dim*size_of_dtype/$P$3/$M$5/1024/1024/1024/1024*1000*1000)(0.5,$U$3,$H$5,$S$8, $S$2)</f>
      </c>
      <c r="AH28" s="12">
        <f>AC28</f>
      </c>
      <c r="AI28" s="12">
        <f>_xlfn.LAMBDA(tp_size, hidden_size, batch_size, batch_size*(tp_size-1)*hidden_size*1000*1000/$P$4/1024/1024/1024/$K$6)($H$3, $S$2,B28*$E$3)</f>
      </c>
      <c r="AJ28" s="12">
        <f>_xlfn.LAMBDA(seq_len, q_len, bs, 2*seq_len*q_len*bs*2*$S$3/$H$3*($S$6 + $S$7)*1000*1000/1024/1024/1024/1024/$P$5/$K$5)(A28,$E$3,B28)</f>
      </c>
      <c r="AK28" s="12">
        <f>_xlfn.LAMBDA(seq_len, q_len, bs, seq_len*bs*($S$6 + $S$7)*1000*1000/1024/1024/1024/1024/$P$3/$M$5)(A28,$E$3,B28)</f>
      </c>
      <c r="AL28" s="12">
        <f>MAX(F28:G28)+MAX(H28:I28)+MAX(J28:K28)+MAX(L28:M28)+MAX(N28:O28)+MAX(P28:Q28)+MAX(R28:S28)+MAX(T28:U28)+MAX(U28:V28)+MAX(W28:X28)+MAX(Y28:Z28)+MAX(AD28:AE28)+MAX(AF28:AG28)+SUM(AA28:AC28)+SUM(AH28:AI28)</f>
      </c>
      <c r="AM28" s="12">
        <f>AL28-MAX(L28:M28)-MAX(N28:O28)-MAX(P28:Q28)-MAX(J28:K28)-MAX(U28:V28)+MAX(AJ28:AK28)-0.05*AL28</f>
      </c>
      <c r="AN28" s="12">
        <f>(MAX(AD28:AE28)+MAX(AF28:AG28))/AL28</f>
      </c>
      <c r="AO28" s="12">
        <f>(MAX(AD28:AE28)+MAX(AF28:AG28))/AM28</f>
      </c>
      <c r="AP28" s="12">
        <f>MAX(U28:V28)/AL28</f>
      </c>
      <c r="AQ28" s="12">
        <f>MAX(AJ28:AK28)/AM28</f>
      </c>
      <c r="AR28" s="12">
        <f>AL28*$S$9/1000</f>
      </c>
      <c r="AS28" s="12">
        <f>AM28*$S$9/1000</f>
      </c>
      <c r="AT28" s="12">
        <f>(AR28+2)/$E$5</f>
      </c>
      <c r="AU28" s="12">
        <f>(AS28+2)/$E$5</f>
      </c>
      <c r="AV28" s="12">
        <f>B28*1000/AT28/$H$3</f>
      </c>
      <c r="AW28" s="12">
        <f>B28*1000/AU28/$H$3</f>
      </c>
      <c r="AX28" s="13">
        <f>1000000*$P$8/24/60/60/AV28</f>
      </c>
      <c r="AY28" s="13">
        <f>1000000*$P$8/24/60/60/AW28</f>
      </c>
      <c r="AZ28" s="13">
        <f>AX28*$E$6</f>
      </c>
      <c r="BA28" s="13">
        <f>AY28*$E$6</f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</row>
    <row r="29">
      <c r="A29" s="4">
        <f>20*1024</f>
      </c>
      <c r="B29" s="4">
        <f>E29/$H$4/$E$3</f>
      </c>
      <c r="C29" s="4">
        <f>B29*$H$4</f>
      </c>
      <c r="D29" s="4">
        <f>B29*$E$3</f>
      </c>
      <c r="E29" s="4">
        <v>480</v>
      </c>
      <c r="F29" s="12">
        <v>10</v>
      </c>
      <c r="G29" s="12">
        <f>_xlfn.LAMBDA(m,n,k,(m*k+2*m*n+n*k)*1000*1000/$P$3/1024/1024/1024/1024/$M$5)(B29*$E$3,$S$10,$S$2)</f>
      </c>
      <c r="H29" s="12">
        <f>_xlfn.LAMBDA(m,n,k, 2*m*n*k*1000*1000/$P$2/1024/1024/1024/1024/$K$2)(B29*$E$3, $S$3*(128+64)/$H$3, $S$10)</f>
      </c>
      <c r="I29" s="12">
        <f>_xlfn.LAMBDA(m,n,k,(m*k+2*m*n+n*k)*1000*1000/$P$3/1024/1024/1024/1024/$M$5)(B29*$E$3, $S$3*(128+64)/$H$3, $S$10)</f>
      </c>
      <c r="J29" s="12">
        <v>15</v>
      </c>
      <c r="K29" s="12">
        <f>_xlfn.LAMBDA(m,n,k,(m*k+2*m*n+n*k)*1000*1000/$P$3/1024/1024/1024/1024/$M$5)(B29*$E$3,$S$11*$S$12,$S$10)</f>
      </c>
      <c r="L29" s="12">
        <v>15</v>
      </c>
      <c r="M29" s="12">
        <f>_xlfn.LAMBDA(m,n,k,(m*k+2*m*n+n*k)*1000*1000/$P$3/1024/1024/1024/1024/$M$5)(B29*$E$3,$S$11,$S$2)</f>
      </c>
      <c r="N29" s="12">
        <v>5</v>
      </c>
      <c r="O29" s="12">
        <f>_xlfn.LAMBDA(m,n,k,(2*m*k+2*m*n+2*n*k)*1000*1000/$P$3/1024/1024/1024/1024/$M$5)(B29*$E$3,$S$12,$S$2)</f>
      </c>
      <c r="P29" s="12">
        <f>_xlfn.LAMBDA(seq_len, q_len, bs, seq_len*q_len*bs*2*($S$12*$S$11/$P$5 + $S$12 / $P$7)*1000*1000/1024/1024/1024/1024/$M$6)(A29,$E$3,B29)</f>
      </c>
      <c r="Q29" s="12">
        <f>_xlfn.LAMBDA(seq_len, q_len, bs, (q_len*bs*$S$12*$S$11 + seq_len * bs * $S$11 + q_len*bs*$S$12*4)*1000*1000/1024/1024/1024/1024/$P$3/$M$5)(A29,$E$3,B29)</f>
      </c>
      <c r="R29" s="12">
        <f>_xlfn.LAMBDA(b, m,n,k, 2*b*m*n*k*1000*1000/$P$7/1024/1024/1024/1024/$K$2)($S$3, B29*$E$3, 128, $S$7)</f>
      </c>
      <c r="S29" s="12">
        <f>_xlfn.LAMBDA(b,m,n,k,b*(2*m*k+2*m*n+2*n*k)*1000*1000/$P$3/1024/1024/1024/1024/$M$5)($S$3, B29*$E$3, 128, $S$7)</f>
      </c>
      <c r="T29" s="12">
        <v>10</v>
      </c>
      <c r="U29" s="12">
        <f>_xlfn.LAMBDA(seq_len, q_len, bs, 2*seq_len*q_len*bs*2*$S$3/$H$3*($S$6 + $S$7)*1000*1000/1024/1024/1024/1024/$P$5/$M$6)(MIN(A29,2048),$E$3,B29)</f>
      </c>
      <c r="V29" s="12">
        <f>_xlfn.LAMBDA(seq_len, q_len, bs, seq_len*bs*($S$6 + $S$7)*1000*1000/1024/1024/1024/1024/$P$3/$M$5)(MIN(A29,2048),$E$3,B29)</f>
      </c>
      <c r="W29" s="12">
        <f>_xlfn.LAMBDA(b, m,n,k, 2*b*m*n*k*1000*1000/$P$7/1024/1024/1024/1024/$K$2)($S$3, B29*$E$3, 128, $S$7)</f>
      </c>
      <c r="X29" s="12">
        <f>_xlfn.LAMBDA(b,m,n,k,b*(2*m*k+2*m*n+2*n*k)*1000*1000/$P$3/1024/1024/1024/1024/$M$5)($S$3, B29*$E$3, 128, $S$7)</f>
      </c>
      <c r="Y29" s="12">
        <f>_xlfn.LAMBDA(m,n,k, 2*m*n*k*1000*1000/$P$2/1024/1024/1024/1024/$M$2)(B29*$E$3, $S$3*128/$H$3, $S$2)</f>
      </c>
      <c r="Z29" s="12">
        <f>_xlfn.LAMBDA(m,n,k,(m*k+2*m*n+n*k)*1000*1000/$P$3/1024/1024/1024/1024/$M$5)(B29*$E$3, $S$3*128/$H$3, $S$2)</f>
      </c>
      <c r="AA29" s="12">
        <f>150 + $B29 *$E$3 * 2.3</f>
      </c>
      <c r="AB29" s="12">
        <f>_xlfn.LAMBDA(tp_size, hidden_size, batch_size, 2*batch_size*(tp_size-1)/tp_size*hidden_size*1000*1000/$P$4/1024/1024/1024/$K$6)($H$3, $S$2,B29*$E$3)</f>
      </c>
      <c r="AC29" s="12">
        <f>_xlfn.LAMBDA(token_size_per_rank, to_nodes,hidden_size, sizeof_dtype, 50 + 4*token_size_per_rank * to_nodes * hidden_size*sizeof_dtype*1000*1000/$P$6/1024/1024/1024/$K$7)(B29*$E$5/$H$3, MIN($H$2,$U$2), $S$2, 1)</f>
      </c>
      <c r="AD29" s="12">
        <f>_xlfn.LAMBDA(m,n,k, 2*m*n*k*1000*1000/$P$2/1024/1024/1024/1024/$K$3)(E29*$U$2/$H$5,$S$8*2,$S$2)</f>
      </c>
      <c r="AE29" s="12">
        <f>_xlfn.LAMBDA(size_of_dtype, experts, ep_size, hidden_size, internal_dim, experts/ep_size*hidden_size*internal_dim*size_of_dtype/$P$3/$M$5/1024/1024/1024/1024*1000*1000)(0.5,$U$3,$H$5,$S$2,$S$8*2)</f>
      </c>
      <c r="AF29" s="12">
        <f>_xlfn.LAMBDA(m,n,k, 2*m*n*k*1000*1000/$P$2/1024/1024/1024/1024/$K$3)(E29*$U$2/$H$5,$S$2,$S$8)</f>
      </c>
      <c r="AG29" s="12">
        <f>_xlfn.LAMBDA(size_of_dtype, experts, ep_size, hidden_size, internal_dim, experts/ep_size*hidden_size*internal_dim*size_of_dtype/$P$3/$M$5/1024/1024/1024/1024*1000*1000)(0.5,$U$3,$H$5,$S$8, $S$2)</f>
      </c>
      <c r="AH29" s="12">
        <f>AC29</f>
      </c>
      <c r="AI29" s="12">
        <f>_xlfn.LAMBDA(tp_size, hidden_size, batch_size, batch_size*(tp_size-1)*hidden_size*1000*1000/$P$4/1024/1024/1024/$K$6)($H$3, $S$2,B29*$E$3)</f>
      </c>
      <c r="AJ29" s="12">
        <f>_xlfn.LAMBDA(seq_len, q_len, bs, 2*seq_len*q_len*bs*2*$S$3/$H$3*($S$6 + $S$7)*1000*1000/1024/1024/1024/1024/$P$5/$K$5)(A29,$E$3,B29)</f>
      </c>
      <c r="AK29" s="12">
        <f>_xlfn.LAMBDA(seq_len, q_len, bs, seq_len*bs*($S$6 + $S$7)*1000*1000/1024/1024/1024/1024/$P$3/$M$5)(A29,$E$3,B29)</f>
      </c>
      <c r="AL29" s="12">
        <f>MAX(F29:G29)+MAX(H29:I29)+MAX(J29:K29)+MAX(L29:M29)+MAX(N29:O29)+MAX(P29:Q29)+MAX(R29:S29)+MAX(T29:U29)+MAX(U29:V29)+MAX(W29:X29)+MAX(Y29:Z29)+MAX(AD29:AE29)+MAX(AF29:AG29)+SUM(AA29:AC29)+SUM(AH29:AI29)</f>
      </c>
      <c r="AM29" s="12">
        <f>AL29-MAX(L29:M29)-MAX(N29:O29)-MAX(P29:Q29)-MAX(J29:K29)-MAX(U29:V29)+MAX(AJ29:AK29)-0.05*AL29</f>
      </c>
      <c r="AN29" s="12">
        <f>(MAX(AD29:AE29)+MAX(AF29:AG29))/AL29</f>
      </c>
      <c r="AO29" s="12">
        <f>(MAX(AD29:AE29)+MAX(AF29:AG29))/AM29</f>
      </c>
      <c r="AP29" s="12">
        <f>MAX(U29:V29)/AL29</f>
      </c>
      <c r="AQ29" s="12">
        <f>MAX(AJ29:AK29)/AM29</f>
      </c>
      <c r="AR29" s="12">
        <f>AL29*$S$9/1000</f>
      </c>
      <c r="AS29" s="12">
        <f>AM29*$S$9/1000</f>
      </c>
      <c r="AT29" s="12">
        <f>(AR29+2)/$E$5</f>
      </c>
      <c r="AU29" s="12">
        <f>(AS29+2)/$E$5</f>
      </c>
      <c r="AV29" s="12">
        <f>B29*1000/AT29/$H$3</f>
      </c>
      <c r="AW29" s="12">
        <f>B29*1000/AU29/$H$3</f>
      </c>
      <c r="AX29" s="13">
        <f>1000000*$P$8/24/60/60/AV29</f>
      </c>
      <c r="AY29" s="13">
        <f>1000000*$P$8/24/60/60/AW29</f>
      </c>
      <c r="AZ29" s="13">
        <f>AX29*$E$6</f>
      </c>
      <c r="BA29" s="13">
        <f>AY29*$E$6</f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</row>
    <row r="30">
      <c r="A30" s="4">
        <f>32*1024</f>
      </c>
      <c r="B30" s="4">
        <f>E30/$H$4/$E$3</f>
      </c>
      <c r="C30" s="4">
        <f>B30*$H$4</f>
      </c>
      <c r="D30" s="4">
        <f>B30*$E$3</f>
      </c>
      <c r="E30" s="4">
        <v>480</v>
      </c>
      <c r="F30" s="12">
        <v>10</v>
      </c>
      <c r="G30" s="12">
        <f>_xlfn.LAMBDA(m,n,k,(m*k+2*m*n+n*k)*1000*1000/$P$3/1024/1024/1024/1024/$M$5)(B30*$E$3,$S$10,$S$2)</f>
      </c>
      <c r="H30" s="12">
        <f>_xlfn.LAMBDA(m,n,k, 2*m*n*k*1000*1000/$P$2/1024/1024/1024/1024/$K$2)(B30*$E$3, $S$3*(128+64)/$H$3, $S$10)</f>
      </c>
      <c r="I30" s="12">
        <f>_xlfn.LAMBDA(m,n,k,(m*k+2*m*n+n*k)*1000*1000/$P$3/1024/1024/1024/1024/$M$5)(B30*$E$3, $S$3*(128+64)/$H$3, $S$10)</f>
      </c>
      <c r="J30" s="12">
        <v>15</v>
      </c>
      <c r="K30" s="12">
        <f>_xlfn.LAMBDA(m,n,k,(m*k+2*m*n+n*k)*1000*1000/$P$3/1024/1024/1024/1024/$M$5)(B30*$E$3,$S$11*$S$12,$S$10)</f>
      </c>
      <c r="L30" s="12">
        <v>15</v>
      </c>
      <c r="M30" s="12">
        <f>_xlfn.LAMBDA(m,n,k,(m*k+2*m*n+n*k)*1000*1000/$P$3/1024/1024/1024/1024/$M$5)(B30*$E$3,$S$11,$S$2)</f>
      </c>
      <c r="N30" s="12">
        <v>5</v>
      </c>
      <c r="O30" s="12">
        <f>_xlfn.LAMBDA(m,n,k,(2*m*k+2*m*n+2*n*k)*1000*1000/$P$3/1024/1024/1024/1024/$M$5)(B30*$E$3,$S$12,$S$2)</f>
      </c>
      <c r="P30" s="12">
        <f>_xlfn.LAMBDA(seq_len, q_len, bs, seq_len*q_len*bs*2*($S$12*$S$11/$P$5 + $S$12 / $P$7)*1000*1000/1024/1024/1024/1024/$M$6)(A30,$E$3,B30)</f>
      </c>
      <c r="Q30" s="12">
        <f>_xlfn.LAMBDA(seq_len, q_len, bs, (q_len*bs*$S$12*$S$11 + seq_len * bs * $S$11 + q_len*bs*$S$12*4)*1000*1000/1024/1024/1024/1024/$P$3/$M$5)(A30,$E$3,B30)</f>
      </c>
      <c r="R30" s="12">
        <f>_xlfn.LAMBDA(b, m,n,k, 2*b*m*n*k*1000*1000/$P$7/1024/1024/1024/1024/$K$2)($S$3, B30*$E$3, 128, $S$7)</f>
      </c>
      <c r="S30" s="12">
        <f>_xlfn.LAMBDA(b,m,n,k,b*(2*m*k+2*m*n+2*n*k)*1000*1000/$P$3/1024/1024/1024/1024/$M$5)($S$3, B30*$E$3, 128, $S$7)</f>
      </c>
      <c r="T30" s="12">
        <v>10</v>
      </c>
      <c r="U30" s="12">
        <f>_xlfn.LAMBDA(seq_len, q_len, bs, 2*seq_len*q_len*bs*2*$S$3/$H$3*($S$6 + $S$7)*1000*1000/1024/1024/1024/1024/$P$5/$M$6)(MIN(A30,2048),$E$3,B30)</f>
      </c>
      <c r="V30" s="12">
        <f>_xlfn.LAMBDA(seq_len, q_len, bs, seq_len*bs*($S$6 + $S$7)*1000*1000/1024/1024/1024/1024/$P$3/$M$5)(MIN(A30,2048),$E$3,B30)</f>
      </c>
      <c r="W30" s="12">
        <f>_xlfn.LAMBDA(b, m,n,k, 2*b*m*n*k*1000*1000/$P$7/1024/1024/1024/1024/$K$2)($S$3, B30*$E$3, 128, $S$7)</f>
      </c>
      <c r="X30" s="12">
        <f>_xlfn.LAMBDA(b,m,n,k,b*(2*m*k+2*m*n+2*n*k)*1000*1000/$P$3/1024/1024/1024/1024/$M$5)($S$3, B30*$E$3, 128, $S$7)</f>
      </c>
      <c r="Y30" s="12">
        <f>_xlfn.LAMBDA(m,n,k, 2*m*n*k*1000*1000/$P$2/1024/1024/1024/1024/$M$2)(B30*$E$3, $S$3*128/$H$3, $S$2)</f>
      </c>
      <c r="Z30" s="12">
        <f>_xlfn.LAMBDA(m,n,k,(m*k+2*m*n+n*k)*1000*1000/$P$3/1024/1024/1024/1024/$M$5)(B30*$E$3, $S$3*128/$H$3, $S$2)</f>
      </c>
      <c r="AA30" s="12">
        <f>150 + $B30 *$E$3 * 2.3</f>
      </c>
      <c r="AB30" s="12">
        <f>_xlfn.LAMBDA(tp_size, hidden_size, batch_size, 2*batch_size*(tp_size-1)/tp_size*hidden_size*1000*1000/$P$4/1024/1024/1024/$K$6)($H$3, $S$2,B30*$E$3)</f>
      </c>
      <c r="AC30" s="12">
        <f>_xlfn.LAMBDA(token_size_per_rank, to_nodes,hidden_size, sizeof_dtype, 50 + 4*token_size_per_rank * to_nodes * hidden_size*sizeof_dtype*1000*1000/$P$6/1024/1024/1024/$K$7)(B30*$E$5/$H$3, MIN($H$2,$U$2), $S$2, 1)</f>
      </c>
      <c r="AD30" s="12">
        <f>_xlfn.LAMBDA(m,n,k, 2*m*n*k*1000*1000/$P$2/1024/1024/1024/1024/$K$3)(E30*$U$2/$H$5,$S$8*2,$S$2)</f>
      </c>
      <c r="AE30" s="12">
        <f>_xlfn.LAMBDA(size_of_dtype, experts, ep_size, hidden_size, internal_dim, experts/ep_size*hidden_size*internal_dim*size_of_dtype/$P$3/$M$5/1024/1024/1024/1024*1000*1000)(0.5,$U$3,$H$5,$S$2,$S$8*2)</f>
      </c>
      <c r="AF30" s="12">
        <f>_xlfn.LAMBDA(m,n,k, 2*m*n*k*1000*1000/$P$2/1024/1024/1024/1024/$K$3)(E30*$U$2/$H$5,$S$2,$S$8)</f>
      </c>
      <c r="AG30" s="12">
        <f>_xlfn.LAMBDA(size_of_dtype, experts, ep_size, hidden_size, internal_dim, experts/ep_size*hidden_size*internal_dim*size_of_dtype/$P$3/$M$5/1024/1024/1024/1024*1000*1000)(0.5,$U$3,$H$5,$S$8, $S$2)</f>
      </c>
      <c r="AH30" s="12">
        <f>AC30</f>
      </c>
      <c r="AI30" s="12">
        <f>_xlfn.LAMBDA(tp_size, hidden_size, batch_size, batch_size*(tp_size-1)*hidden_size*1000*1000/$P$4/1024/1024/1024/$K$6)($H$3, $S$2,B30*$E$3)</f>
      </c>
      <c r="AJ30" s="12">
        <f>_xlfn.LAMBDA(seq_len, q_len, bs, 2*seq_len*q_len*bs*2*$S$3/$H$3*($S$6 + $S$7)*1000*1000/1024/1024/1024/1024/$P$5/$K$5)(A30,$E$3,B30)</f>
      </c>
      <c r="AK30" s="12">
        <f>_xlfn.LAMBDA(seq_len, q_len, bs, seq_len*bs*($S$6 + $S$7)*1000*1000/1024/1024/1024/1024/$P$3/$M$5)(A30,$E$3,B30)</f>
      </c>
      <c r="AL30" s="12">
        <f>MAX(F30:G30)+MAX(H30:I30)+MAX(J30:K30)+MAX(L30:M30)+MAX(N30:O30)+MAX(P30:Q30)+MAX(R30:S30)+MAX(T30:U30)+MAX(U30:V30)+MAX(W30:X30)+MAX(Y30:Z30)+MAX(AD30:AE30)+MAX(AF30:AG30)+SUM(AA30:AC30)+SUM(AH30:AI30)</f>
      </c>
      <c r="AM30" s="12">
        <f>AL30-MAX(L30:M30)-MAX(N30:O30)-MAX(P30:Q30)-MAX(J30:K30)-MAX(U30:V30)+MAX(AJ30:AK30)-0.05*AL30</f>
      </c>
      <c r="AN30" s="12">
        <f>(MAX(AD30:AE30)+MAX(AF30:AG30))/AL30</f>
      </c>
      <c r="AO30" s="12">
        <f>(MAX(AD30:AE30)+MAX(AF30:AG30))/AM30</f>
      </c>
      <c r="AP30" s="12">
        <f>MAX(U30:V30)/AL30</f>
      </c>
      <c r="AQ30" s="12">
        <f>MAX(AJ30:AK30)/AM30</f>
      </c>
      <c r="AR30" s="12">
        <f>AL30*$S$9/1000</f>
      </c>
      <c r="AS30" s="12">
        <f>AM30*$S$9/1000</f>
      </c>
      <c r="AT30" s="12">
        <f>(AR30+2)/$E$5</f>
      </c>
      <c r="AU30" s="12">
        <f>(AS30+2)/$E$5</f>
      </c>
      <c r="AV30" s="12">
        <f>B30*1000/AT30/$H$3</f>
      </c>
      <c r="AW30" s="12">
        <f>B30*1000/AU30/$H$3</f>
      </c>
      <c r="AX30" s="13">
        <f>1000000*$P$8/24/60/60/AV30</f>
      </c>
      <c r="AY30" s="13">
        <f>1000000*$P$8/24/60/60/AW30</f>
      </c>
      <c r="AZ30" s="13">
        <f>AX30*$E$6</f>
      </c>
      <c r="BA30" s="13">
        <f>AY30*$E$6</f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</row>
    <row r="31">
      <c r="A31" s="4">
        <f>50*1024</f>
      </c>
      <c r="B31" s="4">
        <f>E31/$H$4/$E$3</f>
      </c>
      <c r="C31" s="4">
        <f>B31*$H$4</f>
      </c>
      <c r="D31" s="4">
        <f>B31*$E$3</f>
      </c>
      <c r="E31" s="4">
        <v>480</v>
      </c>
      <c r="F31" s="12">
        <v>10</v>
      </c>
      <c r="G31" s="12">
        <f>_xlfn.LAMBDA(m,n,k,(m*k+2*m*n+n*k)*1000*1000/$P$3/1024/1024/1024/1024/$M$5)(B31*$E$3,$S$10,$S$2)</f>
      </c>
      <c r="H31" s="12">
        <f>_xlfn.LAMBDA(m,n,k, 2*m*n*k*1000*1000/$P$2/1024/1024/1024/1024/$K$2)(B31*$E$3, $S$3*(128+64)/$H$3, $S$10)</f>
      </c>
      <c r="I31" s="12">
        <f>_xlfn.LAMBDA(m,n,k,(m*k+2*m*n+n*k)*1000*1000/$P$3/1024/1024/1024/1024/$M$5)(B31*$E$3, $S$3*(128+64)/$H$3, $S$10)</f>
      </c>
      <c r="J31" s="12">
        <v>15</v>
      </c>
      <c r="K31" s="12">
        <f>_xlfn.LAMBDA(m,n,k,(m*k+2*m*n+n*k)*1000*1000/$P$3/1024/1024/1024/1024/$M$5)(B31*$E$3,$S$11*$S$12,$S$10)</f>
      </c>
      <c r="L31" s="12">
        <v>15</v>
      </c>
      <c r="M31" s="12">
        <f>_xlfn.LAMBDA(m,n,k,(m*k+2*m*n+n*k)*1000*1000/$P$3/1024/1024/1024/1024/$M$5)(B31*$E$3,$S$11,$S$2)</f>
      </c>
      <c r="N31" s="12">
        <v>5</v>
      </c>
      <c r="O31" s="12">
        <f>_xlfn.LAMBDA(m,n,k,(2*m*k+2*m*n+2*n*k)*1000*1000/$P$3/1024/1024/1024/1024/$M$5)(B31*$E$3,$S$12,$S$2)</f>
      </c>
      <c r="P31" s="12">
        <f>_xlfn.LAMBDA(seq_len, q_len, bs, seq_len*q_len*bs*2*($S$12*$S$11/$P$5 + $S$12 / $P$7)*1000*1000/1024/1024/1024/1024/$M$6)(A31,$E$3,B31)</f>
      </c>
      <c r="Q31" s="12">
        <f>_xlfn.LAMBDA(seq_len, q_len, bs, (q_len*bs*$S$12*$S$11 + seq_len * bs * $S$11 + q_len*bs*$S$12*4)*1000*1000/1024/1024/1024/1024/$P$3/$M$5)(A31,$E$3,B31)</f>
      </c>
      <c r="R31" s="12">
        <f>_xlfn.LAMBDA(b, m,n,k, 2*b*m*n*k*1000*1000/$P$7/1024/1024/1024/1024/$K$2)($S$3, B31*$E$3, 128, $S$7)</f>
      </c>
      <c r="S31" s="12">
        <f>_xlfn.LAMBDA(b,m,n,k,b*(2*m*k+2*m*n+2*n*k)*1000*1000/$P$3/1024/1024/1024/1024/$M$5)($S$3, B31*$E$3, 128, $S$7)</f>
      </c>
      <c r="T31" s="12">
        <v>10</v>
      </c>
      <c r="U31" s="12">
        <f>_xlfn.LAMBDA(seq_len, q_len, bs, 2*seq_len*q_len*bs*2*$S$3/$H$3*($S$6 + $S$7)*1000*1000/1024/1024/1024/1024/$P$5/$M$6)(MIN(A31,2048),$E$3,B31)</f>
      </c>
      <c r="V31" s="12">
        <f>_xlfn.LAMBDA(seq_len, q_len, bs, seq_len*bs*($S$6 + $S$7)*1000*1000/1024/1024/1024/1024/$P$3/$M$5)(MIN(A31,2048),$E$3,B31)</f>
      </c>
      <c r="W31" s="12">
        <f>_xlfn.LAMBDA(b, m,n,k, 2*b*m*n*k*1000*1000/$P$7/1024/1024/1024/1024/$K$2)($S$3, B31*$E$3, 128, $S$7)</f>
      </c>
      <c r="X31" s="12">
        <f>_xlfn.LAMBDA(b,m,n,k,b*(2*m*k+2*m*n+2*n*k)*1000*1000/$P$3/1024/1024/1024/1024/$M$5)($S$3, B31*$E$3, 128, $S$7)</f>
      </c>
      <c r="Y31" s="12">
        <f>_xlfn.LAMBDA(m,n,k, 2*m*n*k*1000*1000/$P$2/1024/1024/1024/1024/$M$2)(B31*$E$3, $S$3*128/$H$3, $S$2)</f>
      </c>
      <c r="Z31" s="12">
        <f>_xlfn.LAMBDA(m,n,k,(m*k+2*m*n+n*k)*1000*1000/$P$3/1024/1024/1024/1024/$M$5)(B31*$E$3, $S$3*128/$H$3, $S$2)</f>
      </c>
      <c r="AA31" s="12">
        <f>150 + $B31 *$E$3 * 2.3</f>
      </c>
      <c r="AB31" s="12">
        <f>_xlfn.LAMBDA(tp_size, hidden_size, batch_size, 2*batch_size*(tp_size-1)/tp_size*hidden_size*1000*1000/$P$4/1024/1024/1024/$K$6)($H$3, $S$2,B31*$E$3)</f>
      </c>
      <c r="AC31" s="12">
        <f>_xlfn.LAMBDA(token_size_per_rank, to_nodes,hidden_size, sizeof_dtype, 50 + 4*token_size_per_rank * to_nodes * hidden_size*sizeof_dtype*1000*1000/$P$6/1024/1024/1024/$K$7)(B31*$E$5/$H$3, MIN($H$2,$U$2), $S$2, 1)</f>
      </c>
      <c r="AD31" s="12">
        <f>_xlfn.LAMBDA(m,n,k, 2*m*n*k*1000*1000/$P$2/1024/1024/1024/1024/$K$3)(E31*$U$2/$H$5,$S$8*2,$S$2)</f>
      </c>
      <c r="AE31" s="12">
        <f>_xlfn.LAMBDA(size_of_dtype, experts, ep_size, hidden_size, internal_dim, experts/ep_size*hidden_size*internal_dim*size_of_dtype/$P$3/$M$5/1024/1024/1024/1024*1000*1000)(0.5,$U$3,$H$5,$S$2,$S$8*2)</f>
      </c>
      <c r="AF31" s="12">
        <f>_xlfn.LAMBDA(m,n,k, 2*m*n*k*1000*1000/$P$2/1024/1024/1024/1024/$K$3)(E31*$U$2/$H$5,$S$2,$S$8)</f>
      </c>
      <c r="AG31" s="12">
        <f>_xlfn.LAMBDA(size_of_dtype, experts, ep_size, hidden_size, internal_dim, experts/ep_size*hidden_size*internal_dim*size_of_dtype/$P$3/$M$5/1024/1024/1024/1024*1000*1000)(0.5,$U$3,$H$5,$S$8, $S$2)</f>
      </c>
      <c r="AH31" s="12">
        <f>AC31</f>
      </c>
      <c r="AI31" s="12">
        <f>_xlfn.LAMBDA(tp_size, hidden_size, batch_size, batch_size*(tp_size-1)*hidden_size*1000*1000/$P$4/1024/1024/1024/$K$6)($H$3, $S$2,B31*$E$3)</f>
      </c>
      <c r="AJ31" s="12">
        <f>_xlfn.LAMBDA(seq_len, q_len, bs, 2*seq_len*q_len*bs*2*$S$3/$H$3*($S$6 + $S$7)*1000*1000/1024/1024/1024/1024/$P$5/$K$5)(A31,$E$3,B31)</f>
      </c>
      <c r="AK31" s="12">
        <f>_xlfn.LAMBDA(seq_len, q_len, bs, seq_len*bs*($S$6 + $S$7)*1000*1000/1024/1024/1024/1024/$P$3/$M$5)(A31,$E$3,B31)</f>
      </c>
      <c r="AL31" s="12">
        <f>MAX(F31:G31)+MAX(H31:I31)+MAX(J31:K31)+MAX(L31:M31)+MAX(N31:O31)+MAX(P31:Q31)+MAX(R31:S31)+MAX(T31:U31)+MAX(U31:V31)+MAX(W31:X31)+MAX(Y31:Z31)+MAX(AD31:AE31)+MAX(AF31:AG31)+SUM(AA31:AC31)+SUM(AH31:AI31)</f>
      </c>
      <c r="AM31" s="12">
        <f>AL31-MAX(L31:M31)-MAX(N31:O31)-MAX(P31:Q31)-MAX(J31:K31)-MAX(U31:V31)+MAX(AJ31:AK31)-0.05*AL31</f>
      </c>
      <c r="AN31" s="12">
        <f>(MAX(AD31:AE31)+MAX(AF31:AG31))/AL31</f>
      </c>
      <c r="AO31" s="12">
        <f>(MAX(AD31:AE31)+MAX(AF31:AG31))/AM31</f>
      </c>
      <c r="AP31" s="12">
        <f>MAX(U31:V31)/AL31</f>
      </c>
      <c r="AQ31" s="12">
        <f>MAX(AJ31:AK31)/AM31</f>
      </c>
      <c r="AR31" s="12">
        <f>AL31*$S$9/1000</f>
      </c>
      <c r="AS31" s="12">
        <f>AM31*$S$9/1000</f>
      </c>
      <c r="AT31" s="12">
        <f>(AR31+2)/$E$5</f>
      </c>
      <c r="AU31" s="12">
        <f>(AS31+2)/$E$5</f>
      </c>
      <c r="AV31" s="12">
        <f>B31*1000/AT31/$H$3</f>
      </c>
      <c r="AW31" s="12">
        <f>B31*1000/AU31/$H$3</f>
      </c>
      <c r="AX31" s="13">
        <f>1000000*$P$8/24/60/60/AV31</f>
      </c>
      <c r="AY31" s="13">
        <f>1000000*$P$8/24/60/60/AW31</f>
      </c>
      <c r="AZ31" s="13">
        <f>AX31*$E$6</f>
      </c>
      <c r="BA31" s="13">
        <f>AY31*$E$6</f>
      </c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</row>
    <row r="32">
      <c r="A32" s="4">
        <f>64*1024</f>
      </c>
      <c r="B32" s="4">
        <f>E32/$H$4/$E$3</f>
      </c>
      <c r="C32" s="4">
        <f>B32*$H$4</f>
      </c>
      <c r="D32" s="4">
        <f>B32*$E$3</f>
      </c>
      <c r="E32" s="4">
        <v>480</v>
      </c>
      <c r="F32" s="12">
        <v>10</v>
      </c>
      <c r="G32" s="12">
        <f>_xlfn.LAMBDA(m,n,k,(m*k+2*m*n+n*k)*1000*1000/$P$3/1024/1024/1024/1024/$M$5)(B32*$E$3,$S$10,$S$2)</f>
      </c>
      <c r="H32" s="12">
        <f>_xlfn.LAMBDA(m,n,k, 2*m*n*k*1000*1000/$P$2/1024/1024/1024/1024/$K$2)(B32*$E$3, $S$3*(128+64)/$H$3, $S$10)</f>
      </c>
      <c r="I32" s="12">
        <f>_xlfn.LAMBDA(m,n,k,(m*k+2*m*n+n*k)*1000*1000/$P$3/1024/1024/1024/1024/$M$5)(B32*$E$3, $S$3*(128+64)/$H$3, $S$10)</f>
      </c>
      <c r="J32" s="12">
        <v>15</v>
      </c>
      <c r="K32" s="12">
        <f>_xlfn.LAMBDA(m,n,k,(m*k+2*m*n+n*k)*1000*1000/$P$3/1024/1024/1024/1024/$M$5)(B32*$E$3,$S$11*$S$12,$S$10)</f>
      </c>
      <c r="L32" s="12">
        <v>15</v>
      </c>
      <c r="M32" s="12">
        <f>_xlfn.LAMBDA(m,n,k,(m*k+2*m*n+n*k)*1000*1000/$P$3/1024/1024/1024/1024/$M$5)(B32*$E$3,$S$11,$S$2)</f>
      </c>
      <c r="N32" s="12">
        <v>5</v>
      </c>
      <c r="O32" s="12">
        <f>_xlfn.LAMBDA(m,n,k,(2*m*k+2*m*n+2*n*k)*1000*1000/$P$3/1024/1024/1024/1024/$M$5)(B32*$E$3,$S$12,$S$2)</f>
      </c>
      <c r="P32" s="12">
        <f>_xlfn.LAMBDA(seq_len, q_len, bs, seq_len*q_len*bs*2*($S$12*$S$11/$P$5 + $S$12 / $P$7)*1000*1000/1024/1024/1024/1024/$M$6)(A32,$E$3,B32)</f>
      </c>
      <c r="Q32" s="12">
        <f>_xlfn.LAMBDA(seq_len, q_len, bs, (q_len*bs*$S$12*$S$11 + seq_len * bs * $S$11 + q_len*bs*$S$12*4)*1000*1000/1024/1024/1024/1024/$P$3/$M$5)(A32,$E$3,B32)</f>
      </c>
      <c r="R32" s="12">
        <f>_xlfn.LAMBDA(b, m,n,k, 2*b*m*n*k*1000*1000/$P$7/1024/1024/1024/1024/$K$2)($S$3, B32*$E$3, 128, $S$7)</f>
      </c>
      <c r="S32" s="12">
        <f>_xlfn.LAMBDA(b,m,n,k,b*(2*m*k+2*m*n+2*n*k)*1000*1000/$P$3/1024/1024/1024/1024/$M$5)($S$3, B32*$E$3, 128, $S$7)</f>
      </c>
      <c r="T32" s="12">
        <v>10</v>
      </c>
      <c r="U32" s="12">
        <f>_xlfn.LAMBDA(seq_len, q_len, bs, 2*seq_len*q_len*bs*2*$S$3/$H$3*($S$6 + $S$7)*1000*1000/1024/1024/1024/1024/$P$5/$M$6)(MIN(A32,2048),$E$3,B32)</f>
      </c>
      <c r="V32" s="12">
        <f>_xlfn.LAMBDA(seq_len, q_len, bs, seq_len*bs*($S$6 + $S$7)*1000*1000/1024/1024/1024/1024/$P$3/$M$5)(MIN(A32,2048),$E$3,B32)</f>
      </c>
      <c r="W32" s="12">
        <f>_xlfn.LAMBDA(b, m,n,k, 2*b*m*n*k*1000*1000/$P$7/1024/1024/1024/1024/$K$2)($S$3, B32*$E$3, 128, $S$7)</f>
      </c>
      <c r="X32" s="12">
        <f>_xlfn.LAMBDA(b,m,n,k,b*(2*m*k+2*m*n+2*n*k)*1000*1000/$P$3/1024/1024/1024/1024/$M$5)($S$3, B32*$E$3, 128, $S$7)</f>
      </c>
      <c r="Y32" s="12">
        <f>_xlfn.LAMBDA(m,n,k, 2*m*n*k*1000*1000/$P$2/1024/1024/1024/1024/$M$2)(B32*$E$3, $S$3*128/$H$3, $S$2)</f>
      </c>
      <c r="Z32" s="12">
        <f>_xlfn.LAMBDA(m,n,k,(m*k+2*m*n+n*k)*1000*1000/$P$3/1024/1024/1024/1024/$M$5)(B32*$E$3, $S$3*128/$H$3, $S$2)</f>
      </c>
      <c r="AA32" s="12">
        <f>150 + $B32 *$E$3 * 2.3</f>
      </c>
      <c r="AB32" s="12">
        <f>_xlfn.LAMBDA(tp_size, hidden_size, batch_size, 2*batch_size*(tp_size-1)/tp_size*hidden_size*1000*1000/$P$4/1024/1024/1024/$K$6)($H$3, $S$2,B32*$E$3)</f>
      </c>
      <c r="AC32" s="12">
        <f>_xlfn.LAMBDA(token_size_per_rank, to_nodes,hidden_size, sizeof_dtype, 50 + 4*token_size_per_rank * to_nodes * hidden_size*sizeof_dtype*1000*1000/$P$6/1024/1024/1024/$K$7)(B32*$E$5/$H$3, MIN($H$2,$U$2), $S$2, 1)</f>
      </c>
      <c r="AD32" s="12">
        <f>_xlfn.LAMBDA(m,n,k, 2*m*n*k*1000*1000/$P$2/1024/1024/1024/1024/$K$3)(E32*$U$2/$H$5,$S$8*2,$S$2)</f>
      </c>
      <c r="AE32" s="12">
        <f>_xlfn.LAMBDA(size_of_dtype, experts, ep_size, hidden_size, internal_dim, experts/ep_size*hidden_size*internal_dim*size_of_dtype/$P$3/$M$5/1024/1024/1024/1024*1000*1000)(0.5,$U$3,$H$5,$S$2,$S$8*2)</f>
      </c>
      <c r="AF32" s="12">
        <f>_xlfn.LAMBDA(m,n,k, 2*m*n*k*1000*1000/$P$2/1024/1024/1024/1024/$K$3)(E32*$U$2/$H$5,$S$2,$S$8)</f>
      </c>
      <c r="AG32" s="12">
        <f>_xlfn.LAMBDA(size_of_dtype, experts, ep_size, hidden_size, internal_dim, experts/ep_size*hidden_size*internal_dim*size_of_dtype/$P$3/$M$5/1024/1024/1024/1024*1000*1000)(0.5,$U$3,$H$5,$S$8, $S$2)</f>
      </c>
      <c r="AH32" s="12">
        <f>AC32</f>
      </c>
      <c r="AI32" s="12">
        <f>_xlfn.LAMBDA(tp_size, hidden_size, batch_size, batch_size*(tp_size-1)*hidden_size*1000*1000/$P$4/1024/1024/1024/$K$6)($H$3, $S$2,B32*$E$3)</f>
      </c>
      <c r="AJ32" s="12">
        <f>_xlfn.LAMBDA(seq_len, q_len, bs, 2*seq_len*q_len*bs*2*$S$3/$H$3*($S$6 + $S$7)*1000*1000/1024/1024/1024/1024/$P$5/$K$5)(A32,$E$3,B32)</f>
      </c>
      <c r="AK32" s="12">
        <f>_xlfn.LAMBDA(seq_len, q_len, bs, seq_len*bs*($S$6 + $S$7)*1000*1000/1024/1024/1024/1024/$P$3/$M$5)(A32,$E$3,B32)</f>
      </c>
      <c r="AL32" s="12">
        <f>MAX(F32:G32)+MAX(H32:I32)+MAX(J32:K32)+MAX(L32:M32)+MAX(N32:O32)+MAX(P32:Q32)+MAX(R32:S32)+MAX(T32:U32)+MAX(U32:V32)+MAX(W32:X32)+MAX(Y32:Z32)+MAX(AD32:AE32)+MAX(AF32:AG32)+SUM(AA32:AC32)+SUM(AH32:AI32)</f>
      </c>
      <c r="AM32" s="12">
        <f>AL32-MAX(L32:M32)-MAX(N32:O32)-MAX(P32:Q32)-MAX(J32:K32)-MAX(U32:V32)+MAX(AJ32:AK32)-0.05*AL32</f>
      </c>
      <c r="AN32" s="12">
        <f>(MAX(AD32:AE32)+MAX(AF32:AG32))/AL32</f>
      </c>
      <c r="AO32" s="12">
        <f>(MAX(AD32:AE32)+MAX(AF32:AG32))/AM32</f>
      </c>
      <c r="AP32" s="12">
        <f>MAX(U32:V32)/AL32</f>
      </c>
      <c r="AQ32" s="12">
        <f>MAX(AJ32:AK32)/AM32</f>
      </c>
      <c r="AR32" s="12">
        <f>AL32*$S$9/1000</f>
      </c>
      <c r="AS32" s="12">
        <f>AM32*$S$9/1000</f>
      </c>
      <c r="AT32" s="12">
        <f>(AR32+2)/$E$5</f>
      </c>
      <c r="AU32" s="12">
        <f>(AS32+2)/$E$5</f>
      </c>
      <c r="AV32" s="12">
        <f>B32*1000/AT32/$H$3</f>
      </c>
      <c r="AW32" s="12">
        <f>B32*1000/AU32/$H$3</f>
      </c>
      <c r="AX32" s="13">
        <f>1000000*$P$8/24/60/60/AV32</f>
      </c>
      <c r="AY32" s="13">
        <f>1000000*$P$8/24/60/60/AW32</f>
      </c>
      <c r="AZ32" s="13">
        <f>AX32*$E$6</f>
      </c>
      <c r="BA32" s="13">
        <f>AY32*$E$6</f>
      </c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</row>
    <row r="33">
      <c r="A33" s="4">
        <f>96*1024</f>
      </c>
      <c r="B33" s="4">
        <f>E33/$H$4/$E$3</f>
      </c>
      <c r="C33" s="4">
        <f>B33*$H$4</f>
      </c>
      <c r="D33" s="4">
        <f>B33*$E$3</f>
      </c>
      <c r="E33" s="4">
        <v>480</v>
      </c>
      <c r="F33" s="12">
        <v>10</v>
      </c>
      <c r="G33" s="12">
        <f>_xlfn.LAMBDA(m,n,k,(m*k+2*m*n+n*k)*1000*1000/$P$3/1024/1024/1024/1024/$M$5)(B33*$E$3,$S$10,$S$2)</f>
      </c>
      <c r="H33" s="12">
        <f>_xlfn.LAMBDA(m,n,k, 2*m*n*k*1000*1000/$P$2/1024/1024/1024/1024/$K$2)(B33*$E$3, $S$3*(128+64)/$H$3, $S$10)</f>
      </c>
      <c r="I33" s="12">
        <f>_xlfn.LAMBDA(m,n,k,(m*k+2*m*n+n*k)*1000*1000/$P$3/1024/1024/1024/1024/$M$5)(B33*$E$3, $S$3*(128+64)/$H$3, $S$10)</f>
      </c>
      <c r="J33" s="12">
        <v>15</v>
      </c>
      <c r="K33" s="12">
        <f>_xlfn.LAMBDA(m,n,k,(m*k+2*m*n+n*k)*1000*1000/$P$3/1024/1024/1024/1024/$M$5)(B33*$E$3,$S$11*$S$12,$S$10)</f>
      </c>
      <c r="L33" s="12">
        <v>15</v>
      </c>
      <c r="M33" s="12">
        <f>_xlfn.LAMBDA(m,n,k,(m*k+2*m*n+n*k)*1000*1000/$P$3/1024/1024/1024/1024/$M$5)(B33*$E$3,$S$11,$S$2)</f>
      </c>
      <c r="N33" s="12">
        <v>5</v>
      </c>
      <c r="O33" s="12">
        <f>_xlfn.LAMBDA(m,n,k,(2*m*k+2*m*n+2*n*k)*1000*1000/$P$3/1024/1024/1024/1024/$M$5)(B33*$E$3,$S$12,$S$2)</f>
      </c>
      <c r="P33" s="12">
        <f>_xlfn.LAMBDA(seq_len, q_len, bs, seq_len*q_len*bs*2*($S$12*$S$11/$P$5 + $S$12 / $P$7)*1000*1000/1024/1024/1024/1024/$M$6)(A33,$E$3,B33)</f>
      </c>
      <c r="Q33" s="12">
        <f>_xlfn.LAMBDA(seq_len, q_len, bs, (q_len*bs*$S$12*$S$11 + seq_len * bs * $S$11 + q_len*bs*$S$12*4)*1000*1000/1024/1024/1024/1024/$P$3/$M$5)(A33,$E$3,B33)</f>
      </c>
      <c r="R33" s="12">
        <f>_xlfn.LAMBDA(b, m,n,k, 2*b*m*n*k*1000*1000/$P$7/1024/1024/1024/1024/$K$2)($S$3, B33*$E$3, 128, $S$7)</f>
      </c>
      <c r="S33" s="12">
        <f>_xlfn.LAMBDA(b,m,n,k,b*(2*m*k+2*m*n+2*n*k)*1000*1000/$P$3/1024/1024/1024/1024/$M$5)($S$3, B33*$E$3, 128, $S$7)</f>
      </c>
      <c r="T33" s="12">
        <v>10</v>
      </c>
      <c r="U33" s="12">
        <f>_xlfn.LAMBDA(seq_len, q_len, bs, 2*seq_len*q_len*bs*2*$S$3/$H$3*($S$6 + $S$7)*1000*1000/1024/1024/1024/1024/$P$5/$M$6)(MIN(A33,2048),$E$3,B33)</f>
      </c>
      <c r="V33" s="12">
        <f>_xlfn.LAMBDA(seq_len, q_len, bs, seq_len*bs*($S$6 + $S$7)*1000*1000/1024/1024/1024/1024/$P$3/$M$5)(MIN(A33,2048),$E$3,B33)</f>
      </c>
      <c r="W33" s="12">
        <f>_xlfn.LAMBDA(b, m,n,k, 2*b*m*n*k*1000*1000/$P$7/1024/1024/1024/1024/$K$2)($S$3, B33*$E$3, 128, $S$7)</f>
      </c>
      <c r="X33" s="12">
        <f>_xlfn.LAMBDA(b,m,n,k,b*(2*m*k+2*m*n+2*n*k)*1000*1000/$P$3/1024/1024/1024/1024/$M$5)($S$3, B33*$E$3, 128, $S$7)</f>
      </c>
      <c r="Y33" s="12">
        <f>_xlfn.LAMBDA(m,n,k, 2*m*n*k*1000*1000/$P$2/1024/1024/1024/1024/$M$2)(B33*$E$3, $S$3*128/$H$3, $S$2)</f>
      </c>
      <c r="Z33" s="12">
        <f>_xlfn.LAMBDA(m,n,k,(m*k+2*m*n+n*k)*1000*1000/$P$3/1024/1024/1024/1024/$M$5)(B33*$E$3, $S$3*128/$H$3, $S$2)</f>
      </c>
      <c r="AA33" s="12">
        <f>150 + $B33 *$E$3 * 2.3</f>
      </c>
      <c r="AB33" s="12">
        <f>_xlfn.LAMBDA(tp_size, hidden_size, batch_size, 2*batch_size*(tp_size-1)/tp_size*hidden_size*1000*1000/$P$4/1024/1024/1024/$K$6)($H$3, $S$2,B33*$E$3)</f>
      </c>
      <c r="AC33" s="12">
        <f>_xlfn.LAMBDA(token_size_per_rank, to_nodes,hidden_size, sizeof_dtype, 50 + 4*token_size_per_rank * to_nodes * hidden_size*sizeof_dtype*1000*1000/$P$6/1024/1024/1024/$K$7)(B33*$E$5/$H$3, MIN($H$2,$U$2), $S$2, 1)</f>
      </c>
      <c r="AD33" s="12">
        <f>_xlfn.LAMBDA(m,n,k, 2*m*n*k*1000*1000/$P$2/1024/1024/1024/1024/$K$3)(E33*$U$2/$H$5,$S$8*2,$S$2)</f>
      </c>
      <c r="AE33" s="12">
        <f>_xlfn.LAMBDA(size_of_dtype, experts, ep_size, hidden_size, internal_dim, experts/ep_size*hidden_size*internal_dim*size_of_dtype/$P$3/$M$5/1024/1024/1024/1024*1000*1000)(0.5,$U$3,$H$5,$S$2,$S$8*2)</f>
      </c>
      <c r="AF33" s="12">
        <f>_xlfn.LAMBDA(m,n,k, 2*m*n*k*1000*1000/$P$2/1024/1024/1024/1024/$K$3)(E33*$U$2/$H$5,$S$2,$S$8)</f>
      </c>
      <c r="AG33" s="12">
        <f>_xlfn.LAMBDA(size_of_dtype, experts, ep_size, hidden_size, internal_dim, experts/ep_size*hidden_size*internal_dim*size_of_dtype/$P$3/$M$5/1024/1024/1024/1024*1000*1000)(0.5,$U$3,$H$5,$S$8, $S$2)</f>
      </c>
      <c r="AH33" s="12">
        <f>AC33</f>
      </c>
      <c r="AI33" s="12">
        <f>_xlfn.LAMBDA(tp_size, hidden_size, batch_size, batch_size*(tp_size-1)*hidden_size*1000*1000/$P$4/1024/1024/1024/$K$6)($H$3, $S$2,B33*$E$3)</f>
      </c>
      <c r="AJ33" s="12">
        <f>_xlfn.LAMBDA(seq_len, q_len, bs, 2*seq_len*q_len*bs*2*$S$3/$H$3*($S$6 + $S$7)*1000*1000/1024/1024/1024/1024/$P$5/$K$5)(A33,$E$3,B33)</f>
      </c>
      <c r="AK33" s="12">
        <f>_xlfn.LAMBDA(seq_len, q_len, bs, seq_len*bs*($S$6 + $S$7)*1000*1000/1024/1024/1024/1024/$P$3/$M$5)(A33,$E$3,B33)</f>
      </c>
      <c r="AL33" s="12">
        <f>MAX(F33:G33)+MAX(H33:I33)+MAX(J33:K33)+MAX(L33:M33)+MAX(N33:O33)+MAX(P33:Q33)+MAX(R33:S33)+MAX(T33:U33)+MAX(U33:V33)+MAX(W33:X33)+MAX(Y33:Z33)+MAX(AD33:AE33)+MAX(AF33:AG33)+SUM(AA33:AC33)+SUM(AH33:AI33)</f>
      </c>
      <c r="AM33" s="12">
        <f>AL33-MAX(L33:M33)-MAX(N33:O33)-MAX(P33:Q33)-MAX(J33:K33)-MAX(U33:V33)+MAX(AJ33:AK33)-0.05*AL33</f>
      </c>
      <c r="AN33" s="12">
        <f>(MAX(AD33:AE33)+MAX(AF33:AG33))/AL33</f>
      </c>
      <c r="AO33" s="12">
        <f>(MAX(AD33:AE33)+MAX(AF33:AG33))/AM33</f>
      </c>
      <c r="AP33" s="12">
        <f>MAX(U33:V33)/AL33</f>
      </c>
      <c r="AQ33" s="12">
        <f>MAX(AJ33:AK33)/AM33</f>
      </c>
      <c r="AR33" s="12">
        <f>AL33*$S$9/1000</f>
      </c>
      <c r="AS33" s="12">
        <f>AM33*$S$9/1000</f>
      </c>
      <c r="AT33" s="12">
        <f>(AR33+2)/$E$5</f>
      </c>
      <c r="AU33" s="12">
        <f>(AS33+2)/$E$5</f>
      </c>
      <c r="AV33" s="12">
        <f>B33*1000/AT33/$H$3</f>
      </c>
      <c r="AW33" s="12">
        <f>B33*1000/AU33/$H$3</f>
      </c>
      <c r="AX33" s="13">
        <f>1000000*$P$8/24/60/60/AV33</f>
      </c>
      <c r="AY33" s="13">
        <f>1000000*$P$8/24/60/60/AW33</f>
      </c>
      <c r="AZ33" s="13">
        <f>AX33*$E$6</f>
      </c>
      <c r="BA33" s="13">
        <f>AY33*$E$6</f>
      </c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</row>
    <row r="34">
      <c r="A34" s="4">
        <f>128*1024</f>
      </c>
      <c r="B34" s="4">
        <f>E34/$H$4/$E$3</f>
      </c>
      <c r="C34" s="4">
        <f>B34*$H$4</f>
      </c>
      <c r="D34" s="4">
        <f>B34*$E$3</f>
      </c>
      <c r="E34" s="4">
        <v>480</v>
      </c>
      <c r="F34" s="12">
        <v>10</v>
      </c>
      <c r="G34" s="12">
        <f>_xlfn.LAMBDA(m,n,k,(m*k+2*m*n+n*k)*1000*1000/$P$3/1024/1024/1024/1024/$M$5)(B34*$E$3,$S$10,$S$2)</f>
      </c>
      <c r="H34" s="12">
        <f>_xlfn.LAMBDA(m,n,k, 2*m*n*k*1000*1000/$P$2/1024/1024/1024/1024/$K$2)(B34*$E$3, $S$3*(128+64)/$H$3, $S$10)</f>
      </c>
      <c r="I34" s="12">
        <f>_xlfn.LAMBDA(m,n,k,(m*k+2*m*n+n*k)*1000*1000/$P$3/1024/1024/1024/1024/$M$5)(B34*$E$3, $S$3*(128+64)/$H$3, $S$10)</f>
      </c>
      <c r="J34" s="12">
        <v>15</v>
      </c>
      <c r="K34" s="12">
        <f>_xlfn.LAMBDA(m,n,k,(m*k+2*m*n+n*k)*1000*1000/$P$3/1024/1024/1024/1024/$M$5)(B34*$E$3,$S$11*$S$12,$S$10)</f>
      </c>
      <c r="L34" s="12">
        <v>15</v>
      </c>
      <c r="M34" s="12">
        <f>_xlfn.LAMBDA(m,n,k,(m*k+2*m*n+n*k)*1000*1000/$P$3/1024/1024/1024/1024/$M$5)(B34*$E$3,$S$11,$S$2)</f>
      </c>
      <c r="N34" s="12">
        <v>5</v>
      </c>
      <c r="O34" s="12">
        <f>_xlfn.LAMBDA(m,n,k,(2*m*k+2*m*n+2*n*k)*1000*1000/$P$3/1024/1024/1024/1024/$M$5)(B34*$E$3,$S$12,$S$2)</f>
      </c>
      <c r="P34" s="12">
        <f>_xlfn.LAMBDA(seq_len, q_len, bs, seq_len*q_len*bs*2*($S$12*$S$11/$P$5 + $S$12 / $P$7)*1000*1000/1024/1024/1024/1024/$M$6)(A34,$E$3,B34)</f>
      </c>
      <c r="Q34" s="12">
        <f>_xlfn.LAMBDA(seq_len, q_len, bs, (q_len*bs*$S$12*$S$11 + seq_len * bs * $S$11 + q_len*bs*$S$12*4)*1000*1000/1024/1024/1024/1024/$P$3/$M$5)(A34,$E$3,B34)</f>
      </c>
      <c r="R34" s="12">
        <f>_xlfn.LAMBDA(b, m,n,k, 2*b*m*n*k*1000*1000/$P$7/1024/1024/1024/1024/$K$2)($S$3, B34*$E$3, 128, $S$7)</f>
      </c>
      <c r="S34" s="12">
        <f>_xlfn.LAMBDA(b,m,n,k,b*(2*m*k+2*m*n+2*n*k)*1000*1000/$P$3/1024/1024/1024/1024/$M$5)($S$3, B34*$E$3, 128, $S$7)</f>
      </c>
      <c r="T34" s="12">
        <v>10</v>
      </c>
      <c r="U34" s="12">
        <f>_xlfn.LAMBDA(seq_len, q_len, bs, 2*seq_len*q_len*bs*2*$S$3/$H$3*($S$6 + $S$7)*1000*1000/1024/1024/1024/1024/$P$5/$M$6)(MIN(A34,2048),$E$3,B34)</f>
      </c>
      <c r="V34" s="12">
        <f>_xlfn.LAMBDA(seq_len, q_len, bs, seq_len*bs*($S$6 + $S$7)*1000*1000/1024/1024/1024/1024/$P$3/$M$5)(MIN(A34,2048),$E$3,B34)</f>
      </c>
      <c r="W34" s="12">
        <f>_xlfn.LAMBDA(b, m,n,k, 2*b*m*n*k*1000*1000/$P$7/1024/1024/1024/1024/$K$2)($S$3, B34*$E$3, 128, $S$7)</f>
      </c>
      <c r="X34" s="12">
        <f>_xlfn.LAMBDA(b,m,n,k,b*(2*m*k+2*m*n+2*n*k)*1000*1000/$P$3/1024/1024/1024/1024/$M$5)($S$3, B34*$E$3, 128, $S$7)</f>
      </c>
      <c r="Y34" s="12">
        <f>_xlfn.LAMBDA(m,n,k, 2*m*n*k*1000*1000/$P$2/1024/1024/1024/1024/$M$2)(B34*$E$3, $S$3*128/$H$3, $S$2)</f>
      </c>
      <c r="Z34" s="12">
        <f>_xlfn.LAMBDA(m,n,k,(m*k+2*m*n+n*k)*1000*1000/$P$3/1024/1024/1024/1024/$M$5)(B34*$E$3, $S$3*128/$H$3, $S$2)</f>
      </c>
      <c r="AA34" s="12">
        <f>150 + $B34 *$E$3 * 2.3</f>
      </c>
      <c r="AB34" s="12">
        <f>_xlfn.LAMBDA(tp_size, hidden_size, batch_size, 2*batch_size*(tp_size-1)/tp_size*hidden_size*1000*1000/$P$4/1024/1024/1024/$K$6)($H$3, $S$2,B34*$E$3)</f>
      </c>
      <c r="AC34" s="12">
        <f>_xlfn.LAMBDA(token_size_per_rank, to_nodes,hidden_size, sizeof_dtype, 50 + 4*token_size_per_rank * to_nodes * hidden_size*sizeof_dtype*1000*1000/$P$6/1024/1024/1024/$K$7)(B34*$E$5/$H$3, MIN($H$2,$U$2), $S$2, 1)</f>
      </c>
      <c r="AD34" s="12">
        <f>_xlfn.LAMBDA(m,n,k, 2*m*n*k*1000*1000/$P$2/1024/1024/1024/1024/$K$3)(E34*$U$2/$H$5,$S$8*2,$S$2)</f>
      </c>
      <c r="AE34" s="12">
        <f>_xlfn.LAMBDA(size_of_dtype, experts, ep_size, hidden_size, internal_dim, experts/ep_size*hidden_size*internal_dim*size_of_dtype/$P$3/$M$5/1024/1024/1024/1024*1000*1000)(0.5,$U$3,$H$5,$S$2,$S$8*2)</f>
      </c>
      <c r="AF34" s="12">
        <f>_xlfn.LAMBDA(m,n,k, 2*m*n*k*1000*1000/$P$2/1024/1024/1024/1024/$K$3)(E34*$U$2/$H$5,$S$2,$S$8)</f>
      </c>
      <c r="AG34" s="12">
        <f>_xlfn.LAMBDA(size_of_dtype, experts, ep_size, hidden_size, internal_dim, experts/ep_size*hidden_size*internal_dim*size_of_dtype/$P$3/$M$5/1024/1024/1024/1024*1000*1000)(0.5,$U$3,$H$5,$S$8, $S$2)</f>
      </c>
      <c r="AH34" s="12">
        <f>AC34</f>
      </c>
      <c r="AI34" s="12">
        <f>_xlfn.LAMBDA(tp_size, hidden_size, batch_size, batch_size*(tp_size-1)*hidden_size*1000*1000/$P$4/1024/1024/1024/$K$6)($H$3, $S$2,B34*$E$3)</f>
      </c>
      <c r="AJ34" s="12">
        <f>_xlfn.LAMBDA(seq_len, q_len, bs, 2*seq_len*q_len*bs*2*$S$3/$H$3*($S$6 + $S$7)*1000*1000/1024/1024/1024/1024/$P$5/$K$5)(A34,$E$3,B34)</f>
      </c>
      <c r="AK34" s="12">
        <f>_xlfn.LAMBDA(seq_len, q_len, bs, seq_len*bs*($S$6 + $S$7)*1000*1000/1024/1024/1024/1024/$P$3/$M$5)(A34,$E$3,B34)</f>
      </c>
      <c r="AL34" s="12">
        <f>MAX(F34:G34)+MAX(H34:I34)+MAX(J34:K34)+MAX(L34:M34)+MAX(N34:O34)+MAX(P34:Q34)+MAX(R34:S34)+MAX(T34:U34)+MAX(U34:V34)+MAX(W34:X34)+MAX(Y34:Z34)+MAX(AD34:AE34)+MAX(AF34:AG34)+SUM(AA34:AC34)+SUM(AH34:AI34)</f>
      </c>
      <c r="AM34" s="12">
        <f>AL34-MAX(L34:M34)-MAX(N34:O34)-MAX(P34:Q34)-MAX(J34:K34)-MAX(U34:V34)+MAX(AJ34:AK34)-0.05*AL34</f>
      </c>
      <c r="AN34" s="12">
        <f>(MAX(AD34:AE34)+MAX(AF34:AG34))/AL34</f>
      </c>
      <c r="AO34" s="12">
        <f>(MAX(AD34:AE34)+MAX(AF34:AG34))/AM34</f>
      </c>
      <c r="AP34" s="12">
        <f>MAX(U34:V34)/AL34</f>
      </c>
      <c r="AQ34" s="12">
        <f>MAX(AJ34:AK34)/AM34</f>
      </c>
      <c r="AR34" s="12">
        <f>AL34*$S$9/1000</f>
      </c>
      <c r="AS34" s="12">
        <f>AM34*$S$9/1000</f>
      </c>
      <c r="AT34" s="12">
        <f>(AR34+2)/$E$5</f>
      </c>
      <c r="AU34" s="12">
        <f>(AS34+2)/$E$5</f>
      </c>
      <c r="AV34" s="12">
        <f>B34*1000/AT34/$H$3</f>
      </c>
      <c r="AW34" s="12">
        <f>B34*1000/AU34/$H$3</f>
      </c>
      <c r="AX34" s="13">
        <f>1000000*$P$8/24/60/60/AV34</f>
      </c>
      <c r="AY34" s="13">
        <f>1000000*$P$8/24/60/60/AW34</f>
      </c>
      <c r="AZ34" s="13">
        <f>AX34*$E$6</f>
      </c>
      <c r="BA34" s="13">
        <f>AY34*$E$6</f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</row>
    <row r="35">
      <c r="A35" s="4">
        <f>192*1024</f>
      </c>
      <c r="B35" s="4">
        <f>E35/$H$4/$E$3</f>
      </c>
      <c r="C35" s="4">
        <f>B35*$H$4</f>
      </c>
      <c r="D35" s="4">
        <f>B35*$E$3</f>
      </c>
      <c r="E35" s="4">
        <v>480</v>
      </c>
      <c r="F35" s="12">
        <v>10</v>
      </c>
      <c r="G35" s="12">
        <f>_xlfn.LAMBDA(m,n,k,(m*k+2*m*n+n*k)*1000*1000/$P$3/1024/1024/1024/1024/$M$5)(B35*$E$3,$S$10,$S$2)</f>
      </c>
      <c r="H35" s="12">
        <f>_xlfn.LAMBDA(m,n,k, 2*m*n*k*1000*1000/$P$2/1024/1024/1024/1024/$K$2)(B35*$E$3, $S$3*(128+64)/$H$3, $S$10)</f>
      </c>
      <c r="I35" s="12">
        <f>_xlfn.LAMBDA(m,n,k,(m*k+2*m*n+n*k)*1000*1000/$P$3/1024/1024/1024/1024/$M$5)(B35*$E$3, $S$3*(128+64)/$H$3, $S$10)</f>
      </c>
      <c r="J35" s="12">
        <v>15</v>
      </c>
      <c r="K35" s="12">
        <f>_xlfn.LAMBDA(m,n,k,(m*k+2*m*n+n*k)*1000*1000/$P$3/1024/1024/1024/1024/$M$5)(B35*$E$3,$S$11*$S$12,$S$10)</f>
      </c>
      <c r="L35" s="12">
        <v>15</v>
      </c>
      <c r="M35" s="12">
        <f>_xlfn.LAMBDA(m,n,k,(m*k+2*m*n+n*k)*1000*1000/$P$3/1024/1024/1024/1024/$M$5)(B35*$E$3,$S$11,$S$2)</f>
      </c>
      <c r="N35" s="12">
        <v>5</v>
      </c>
      <c r="O35" s="12">
        <f>_xlfn.LAMBDA(m,n,k,(2*m*k+2*m*n+2*n*k)*1000*1000/$P$3/1024/1024/1024/1024/$M$5)(B35*$E$3,$S$12,$S$2)</f>
      </c>
      <c r="P35" s="12">
        <f>_xlfn.LAMBDA(seq_len, q_len, bs, seq_len*q_len*bs*2*($S$12*$S$11/$P$5 + $S$12 / $P$7)*1000*1000/1024/1024/1024/1024/$M$6)(A35,$E$3,B35)</f>
      </c>
      <c r="Q35" s="12">
        <f>_xlfn.LAMBDA(seq_len, q_len, bs, (q_len*bs*$S$12*$S$11 + seq_len * bs * $S$11 + q_len*bs*$S$12*4)*1000*1000/1024/1024/1024/1024/$P$3/$M$5)(A35,$E$3,B35)</f>
      </c>
      <c r="R35" s="12">
        <f>_xlfn.LAMBDA(b, m,n,k, 2*b*m*n*k*1000*1000/$P$7/1024/1024/1024/1024/$K$2)($S$3, B35*$E$3, 128, $S$7)</f>
      </c>
      <c r="S35" s="12">
        <f>_xlfn.LAMBDA(b,m,n,k,b*(2*m*k+2*m*n+2*n*k)*1000*1000/$P$3/1024/1024/1024/1024/$M$5)($S$3, B35*$E$3, 128, $S$7)</f>
      </c>
      <c r="T35" s="12">
        <v>10</v>
      </c>
      <c r="U35" s="12">
        <f>_xlfn.LAMBDA(seq_len, q_len, bs, 2*seq_len*q_len*bs*2*$S$3/$H$3*($S$6 + $S$7)*1000*1000/1024/1024/1024/1024/$P$5/$M$6)(MIN(A35,2048),$E$3,B35)</f>
      </c>
      <c r="V35" s="12">
        <f>_xlfn.LAMBDA(seq_len, q_len, bs, seq_len*bs*($S$6 + $S$7)*1000*1000/1024/1024/1024/1024/$P$3/$M$5)(MIN(A35,2048),$E$3,B35)</f>
      </c>
      <c r="W35" s="12">
        <f>_xlfn.LAMBDA(b, m,n,k, 2*b*m*n*k*1000*1000/$P$7/1024/1024/1024/1024/$K$2)($S$3, B35*$E$3, 128, $S$7)</f>
      </c>
      <c r="X35" s="12">
        <f>_xlfn.LAMBDA(b,m,n,k,b*(2*m*k+2*m*n+2*n*k)*1000*1000/$P$3/1024/1024/1024/1024/$M$5)($S$3, B35*$E$3, 128, $S$7)</f>
      </c>
      <c r="Y35" s="12">
        <f>_xlfn.LAMBDA(m,n,k, 2*m*n*k*1000*1000/$P$2/1024/1024/1024/1024/$M$2)(B35*$E$3, $S$3*128/$H$3, $S$2)</f>
      </c>
      <c r="Z35" s="12">
        <f>_xlfn.LAMBDA(m,n,k,(m*k+2*m*n+n*k)*1000*1000/$P$3/1024/1024/1024/1024/$M$5)(B35*$E$3, $S$3*128/$H$3, $S$2)</f>
      </c>
      <c r="AA35" s="12">
        <f>150 + $B35 *$E$3 * 2.3</f>
      </c>
      <c r="AB35" s="12">
        <f>_xlfn.LAMBDA(tp_size, hidden_size, batch_size, 2*batch_size*(tp_size-1)/tp_size*hidden_size*1000*1000/$P$4/1024/1024/1024/$K$6)($H$3, $S$2,B35*$E$3)</f>
      </c>
      <c r="AC35" s="12">
        <f>_xlfn.LAMBDA(token_size_per_rank, to_nodes,hidden_size, sizeof_dtype, 50 + 4*token_size_per_rank * to_nodes * hidden_size*sizeof_dtype*1000*1000/$P$6/1024/1024/1024/$K$7)(B35*$E$5/$H$3, MIN($H$2,$U$2), $S$2, 1)</f>
      </c>
      <c r="AD35" s="12">
        <f>_xlfn.LAMBDA(m,n,k, 2*m*n*k*1000*1000/$P$2/1024/1024/1024/1024/$K$3)(E35*$U$2/$H$5,$S$8*2,$S$2)</f>
      </c>
      <c r="AE35" s="12">
        <f>_xlfn.LAMBDA(size_of_dtype, experts, ep_size, hidden_size, internal_dim, experts/ep_size*hidden_size*internal_dim*size_of_dtype/$P$3/$M$5/1024/1024/1024/1024*1000*1000)(0.5,$U$3,$H$5,$S$2,$S$8*2)</f>
      </c>
      <c r="AF35" s="12">
        <f>_xlfn.LAMBDA(m,n,k, 2*m*n*k*1000*1000/$P$2/1024/1024/1024/1024/$K$3)(E35*$U$2/$H$5,$S$2,$S$8)</f>
      </c>
      <c r="AG35" s="12">
        <f>_xlfn.LAMBDA(size_of_dtype, experts, ep_size, hidden_size, internal_dim, experts/ep_size*hidden_size*internal_dim*size_of_dtype/$P$3/$M$5/1024/1024/1024/1024*1000*1000)(0.5,$U$3,$H$5,$S$8, $S$2)</f>
      </c>
      <c r="AH35" s="12">
        <f>AC35</f>
      </c>
      <c r="AI35" s="12">
        <f>_xlfn.LAMBDA(tp_size, hidden_size, batch_size, batch_size*(tp_size-1)*hidden_size*1000*1000/$P$4/1024/1024/1024/$K$6)($H$3, $S$2,B35*$E$3)</f>
      </c>
      <c r="AJ35" s="12">
        <f>_xlfn.LAMBDA(seq_len, q_len, bs, 2*seq_len*q_len*bs*2*$S$3/$H$3*($S$6 + $S$7)*1000*1000/1024/1024/1024/1024/$P$5/$K$5)(A35,$E$3,B35)</f>
      </c>
      <c r="AK35" s="12">
        <f>_xlfn.LAMBDA(seq_len, q_len, bs, seq_len*bs*($S$6 + $S$7)*1000*1000/1024/1024/1024/1024/$P$3/$M$5)(A35,$E$3,B35)</f>
      </c>
      <c r="AL35" s="12">
        <f>MAX(F35:G35)+MAX(H35:I35)+MAX(J35:K35)+MAX(L35:M35)+MAX(N35:O35)+MAX(P35:Q35)+MAX(R35:S35)+MAX(T35:U35)+MAX(U35:V35)+MAX(W35:X35)+MAX(Y35:Z35)+MAX(AD35:AE35)+MAX(AF35:AG35)+SUM(AA35:AC35)+SUM(AH35:AI35)</f>
      </c>
      <c r="AM35" s="12">
        <f>AL35-MAX(L35:M35)-MAX(N35:O35)-MAX(P35:Q35)-MAX(J35:K35)-MAX(U35:V35)+MAX(AJ35:AK35)-0.05*AL35</f>
      </c>
      <c r="AN35" s="12">
        <f>(MAX(AD35:AE35)+MAX(AF35:AG35))/AL35</f>
      </c>
      <c r="AO35" s="12">
        <f>(MAX(AD35:AE35)+MAX(AF35:AG35))/AM35</f>
      </c>
      <c r="AP35" s="12">
        <f>MAX(U35:V35)/AL35</f>
      </c>
      <c r="AQ35" s="12">
        <f>MAX(AJ35:AK35)/AM35</f>
      </c>
      <c r="AR35" s="12">
        <f>AL35*$S$9/1000</f>
      </c>
      <c r="AS35" s="12">
        <f>AM35*$S$9/1000</f>
      </c>
      <c r="AT35" s="12">
        <f>(AR35+2)/$E$5</f>
      </c>
      <c r="AU35" s="12">
        <f>(AS35+2)/$E$5</f>
      </c>
      <c r="AV35" s="12">
        <f>B35*1000/AT35/$H$3</f>
      </c>
      <c r="AW35" s="12">
        <f>B35*1000/AU35/$H$3</f>
      </c>
      <c r="AX35" s="13">
        <f>1000000*$P$8/24/60/60/AV35</f>
      </c>
      <c r="AY35" s="13">
        <f>1000000*$P$8/24/60/60/AW35</f>
      </c>
      <c r="AZ35" s="13">
        <f>AX35*$E$6</f>
      </c>
      <c r="BA35" s="13">
        <f>AY35*$E$6</f>
      </c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</row>
    <row r="36">
      <c r="A36" s="4">
        <f>256*1024</f>
      </c>
      <c r="B36" s="4">
        <f>E36/$H$4/$E$3</f>
      </c>
      <c r="C36" s="4">
        <f>B36*$H$4</f>
      </c>
      <c r="D36" s="4">
        <f>B36*$E$3</f>
      </c>
      <c r="E36" s="4">
        <v>480</v>
      </c>
      <c r="F36" s="12">
        <v>10</v>
      </c>
      <c r="G36" s="12">
        <f>_xlfn.LAMBDA(m,n,k,(m*k+2*m*n+n*k)*1000*1000/$P$3/1024/1024/1024/1024/$M$5)(B36*$E$3,$S$10,$S$2)</f>
      </c>
      <c r="H36" s="12">
        <f>_xlfn.LAMBDA(m,n,k, 2*m*n*k*1000*1000/$P$2/1024/1024/1024/1024/$K$2)(B36*$E$3, $S$3*(128+64)/$H$3, $S$10)</f>
      </c>
      <c r="I36" s="12">
        <f>_xlfn.LAMBDA(m,n,k,(m*k+2*m*n+n*k)*1000*1000/$P$3/1024/1024/1024/1024/$M$5)(B36*$E$3, $S$3*(128+64)/$H$3, $S$10)</f>
      </c>
      <c r="J36" s="12">
        <v>15</v>
      </c>
      <c r="K36" s="12">
        <f>_xlfn.LAMBDA(m,n,k,(m*k+2*m*n+n*k)*1000*1000/$P$3/1024/1024/1024/1024/$M$5)(B36*$E$3,$S$11*$S$12,$S$10)</f>
      </c>
      <c r="L36" s="12">
        <v>15</v>
      </c>
      <c r="M36" s="12">
        <f>_xlfn.LAMBDA(m,n,k,(m*k+2*m*n+n*k)*1000*1000/$P$3/1024/1024/1024/1024/$M$5)(B36*$E$3,$S$11,$S$2)</f>
      </c>
      <c r="N36" s="12">
        <v>5</v>
      </c>
      <c r="O36" s="12">
        <f>_xlfn.LAMBDA(m,n,k,(2*m*k+2*m*n+2*n*k)*1000*1000/$P$3/1024/1024/1024/1024/$M$5)(B36*$E$3,$S$12,$S$2)</f>
      </c>
      <c r="P36" s="12">
        <f>_xlfn.LAMBDA(seq_len, q_len, bs, seq_len*q_len*bs*2*($S$12*$S$11/$P$5 + $S$12 / $P$7)*1000*1000/1024/1024/1024/1024/$M$6)(A36,$E$3,B36)</f>
      </c>
      <c r="Q36" s="12">
        <f>_xlfn.LAMBDA(seq_len, q_len, bs, (q_len*bs*$S$12*$S$11 + seq_len * bs * $S$11 + q_len*bs*$S$12*4)*1000*1000/1024/1024/1024/1024/$P$3/$M$5)(A36,$E$3,B36)</f>
      </c>
      <c r="R36" s="12">
        <f>_xlfn.LAMBDA(b, m,n,k, 2*b*m*n*k*1000*1000/$P$7/1024/1024/1024/1024/$K$2)($S$3, B36*$E$3, 128, $S$7)</f>
      </c>
      <c r="S36" s="12">
        <f>_xlfn.LAMBDA(b,m,n,k,b*(2*m*k+2*m*n+2*n*k)*1000*1000/$P$3/1024/1024/1024/1024/$M$5)($S$3, B36*$E$3, 128, $S$7)</f>
      </c>
      <c r="T36" s="12">
        <v>10</v>
      </c>
      <c r="U36" s="12">
        <f>_xlfn.LAMBDA(seq_len, q_len, bs, 2*seq_len*q_len*bs*2*$S$3/$H$3*($S$6 + $S$7)*1000*1000/1024/1024/1024/1024/$P$5/$M$6)(MIN(A36,2048),$E$3,B36)</f>
      </c>
      <c r="V36" s="12">
        <f>_xlfn.LAMBDA(seq_len, q_len, bs, seq_len*bs*($S$6 + $S$7)*1000*1000/1024/1024/1024/1024/$P$3/$M$5)(MIN(A36,2048),$E$3,B36)</f>
      </c>
      <c r="W36" s="12">
        <f>_xlfn.LAMBDA(b, m,n,k, 2*b*m*n*k*1000*1000/$P$7/1024/1024/1024/1024/$K$2)($S$3, B36*$E$3, 128, $S$7)</f>
      </c>
      <c r="X36" s="12">
        <f>_xlfn.LAMBDA(b,m,n,k,b*(2*m*k+2*m*n+2*n*k)*1000*1000/$P$3/1024/1024/1024/1024/$M$5)($S$3, B36*$E$3, 128, $S$7)</f>
      </c>
      <c r="Y36" s="12">
        <f>_xlfn.LAMBDA(m,n,k, 2*m*n*k*1000*1000/$P$2/1024/1024/1024/1024/$M$2)(B36*$E$3, $S$3*128/$H$3, $S$2)</f>
      </c>
      <c r="Z36" s="12">
        <f>_xlfn.LAMBDA(m,n,k,(m*k+2*m*n+n*k)*1000*1000/$P$3/1024/1024/1024/1024/$M$5)(B36*$E$3, $S$3*128/$H$3, $S$2)</f>
      </c>
      <c r="AA36" s="12">
        <f>150 + $B36 *$E$3 * 2.3</f>
      </c>
      <c r="AB36" s="12">
        <f>_xlfn.LAMBDA(tp_size, hidden_size, batch_size, 2*batch_size*(tp_size-1)/tp_size*hidden_size*1000*1000/$P$4/1024/1024/1024/$K$6)($H$3, $S$2,B36*$E$3)</f>
      </c>
      <c r="AC36" s="12">
        <f>_xlfn.LAMBDA(token_size_per_rank, to_nodes,hidden_size, sizeof_dtype, 50 + 4*token_size_per_rank * to_nodes * hidden_size*sizeof_dtype*1000*1000/$P$6/1024/1024/1024/$K$7)(B36*$E$5/$H$3, MIN($H$2,$U$2), $S$2, 1)</f>
      </c>
      <c r="AD36" s="12">
        <f>_xlfn.LAMBDA(m,n,k, 2*m*n*k*1000*1000/$P$2/1024/1024/1024/1024/$K$3)(E36*$U$2/$H$5,$S$8*2,$S$2)</f>
      </c>
      <c r="AE36" s="12">
        <f>_xlfn.LAMBDA(size_of_dtype, experts, ep_size, hidden_size, internal_dim, experts/ep_size*hidden_size*internal_dim*size_of_dtype/$P$3/$M$5/1024/1024/1024/1024*1000*1000)(0.5,$U$3,$H$5,$S$2,$S$8*2)</f>
      </c>
      <c r="AF36" s="12">
        <f>_xlfn.LAMBDA(m,n,k, 2*m*n*k*1000*1000/$P$2/1024/1024/1024/1024/$K$3)(E36*$U$2/$H$5,$S$2,$S$8)</f>
      </c>
      <c r="AG36" s="12">
        <f>_xlfn.LAMBDA(size_of_dtype, experts, ep_size, hidden_size, internal_dim, experts/ep_size*hidden_size*internal_dim*size_of_dtype/$P$3/$M$5/1024/1024/1024/1024*1000*1000)(0.5,$U$3,$H$5,$S$8, $S$2)</f>
      </c>
      <c r="AH36" s="12">
        <f>AC36</f>
      </c>
      <c r="AI36" s="12">
        <f>_xlfn.LAMBDA(tp_size, hidden_size, batch_size, batch_size*(tp_size-1)*hidden_size*1000*1000/$P$4/1024/1024/1024/$K$6)($H$3, $S$2,B36*$E$3)</f>
      </c>
      <c r="AJ36" s="12">
        <f>_xlfn.LAMBDA(seq_len, q_len, bs, 2*seq_len*q_len*bs*2*$S$3/$H$3*($S$6 + $S$7)*1000*1000/1024/1024/1024/1024/$P$5/$K$5)(A36,$E$3,B36)</f>
      </c>
      <c r="AK36" s="12">
        <f>_xlfn.LAMBDA(seq_len, q_len, bs, seq_len*bs*($S$6 + $S$7)*1000*1000/1024/1024/1024/1024/$P$3/$M$5)(A36,$E$3,B36)</f>
      </c>
      <c r="AL36" s="12">
        <f>MAX(F36:G36)+MAX(H36:I36)+MAX(J36:K36)+MAX(L36:M36)+MAX(N36:O36)+MAX(P36:Q36)+MAX(R36:S36)+MAX(T36:U36)+MAX(U36:V36)+MAX(W36:X36)+MAX(Y36:Z36)+MAX(AD36:AE36)+MAX(AF36:AG36)+SUM(AA36:AC36)+SUM(AH36:AI36)</f>
      </c>
      <c r="AM36" s="12">
        <f>AL36-MAX(L36:M36)-MAX(N36:O36)-MAX(P36:Q36)-MAX(J36:K36)-MAX(U36:V36)+MAX(AJ36:AK36)-0.05*AL36</f>
      </c>
      <c r="AN36" s="12">
        <f>(MAX(AD36:AE36)+MAX(AF36:AG36))/AL36</f>
      </c>
      <c r="AO36" s="12">
        <f>(MAX(AD36:AE36)+MAX(AF36:AG36))/AM36</f>
      </c>
      <c r="AP36" s="12">
        <f>MAX(U36:V36)/AL36</f>
      </c>
      <c r="AQ36" s="12">
        <f>MAX(AJ36:AK36)/AM36</f>
      </c>
      <c r="AR36" s="12">
        <f>AL36*$S$9/1000</f>
      </c>
      <c r="AS36" s="12">
        <f>AM36*$S$9/1000</f>
      </c>
      <c r="AT36" s="12">
        <f>(AR36+2)/$E$5</f>
      </c>
      <c r="AU36" s="12">
        <f>(AS36+2)/$E$5</f>
      </c>
      <c r="AV36" s="12">
        <f>B36*1000/AT36/$H$3</f>
      </c>
      <c r="AW36" s="12">
        <f>B36*1000/AU36/$H$3</f>
      </c>
      <c r="AX36" s="13">
        <f>1000000*$P$8/24/60/60/AV36</f>
      </c>
      <c r="AY36" s="13">
        <f>1000000*$P$8/24/60/60/AW36</f>
      </c>
      <c r="AZ36" s="13">
        <f>AX36*$E$6</f>
      </c>
      <c r="BA36" s="13">
        <f>AY36*$E$6</f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2"/>
      <c r="AY39" s="2"/>
      <c r="AZ39" s="2"/>
      <c r="BA39" s="2"/>
      <c r="BB39" s="2"/>
      <c r="BC39" s="2"/>
      <c r="BD39" s="2"/>
      <c r="BE39" s="2" t="str">
        <v>输入长度</v>
      </c>
      <c r="BF39" s="2" t="str">
        <v>输出长度</v>
      </c>
      <c r="BG39" s="2" t="str">
        <v>输入价格</v>
      </c>
      <c r="BH39" s="2" t="str">
        <v>输出价格</v>
      </c>
      <c r="BI39" s="2" t="str">
        <v>输入成本</v>
      </c>
      <c r="BJ39" s="2" t="str">
        <v>输出成本</v>
      </c>
      <c r="BK39" s="2" t="str">
        <v>毛利率</v>
      </c>
      <c r="BL39" s="2"/>
      <c r="BM39" s="2"/>
    </row>
    <row r="40">
      <c r="A40" s="16" t="str">
        <v>Prefill 分段成本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2"/>
      <c r="AC40" s="2"/>
      <c r="AD40" s="2"/>
      <c r="AE40" s="2"/>
      <c r="AF40" s="2"/>
      <c r="AG40" s="2"/>
      <c r="AH40" s="2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2"/>
      <c r="AY40" s="2"/>
      <c r="AZ40" s="2"/>
      <c r="BA40" s="2"/>
      <c r="BB40" s="2"/>
      <c r="BC40" s="2"/>
      <c r="BD40" s="2" t="str">
        <v>毛利快速计算器</v>
      </c>
      <c r="BE40" s="2">
        <v>8000</v>
      </c>
      <c r="BF40" s="2">
        <v>800</v>
      </c>
      <c r="BG40" s="2">
        <v>2</v>
      </c>
      <c r="BH40" s="2">
        <v>3</v>
      </c>
      <c r="BI40" s="2">
        <v>1.5</v>
      </c>
      <c r="BJ40" s="2">
        <v>2.4</v>
      </c>
      <c r="BK40" s="15">
        <f>((BE40*BG40+BF40*BH40)/1.06-(BE40*BI40+BF40*BJ40))/((BE40*BG40+BF40*BH40)/1.06)</f>
      </c>
      <c r="BL40" s="2"/>
      <c r="BM40" s="2"/>
    </row>
    <row r="41">
      <c r="A41" s="1" t="str">
        <v>序列长度</v>
      </c>
      <c r="B41" s="1" t="str">
        <v>DP BatchSize</v>
      </c>
      <c r="C41" s="1"/>
      <c r="D41" s="1"/>
      <c r="E41" s="1" t="str">
        <v>Global BatchSize</v>
      </c>
      <c r="F41" s="1" t="str">
        <v>q_a_proj 计算耗时</v>
      </c>
      <c r="G41" s="1" t="str">
        <v>q_b_proj_计算耗时</v>
      </c>
      <c r="H41" s="1" t="str">
        <v>q_index_b_proj 计算耗时</v>
      </c>
      <c r="I41" s="1" t="str">
        <v>kv_index_proj 计算耗时</v>
      </c>
      <c r="J41" s="18" t="str">
        <v>index_weight_proj 计算耗时</v>
      </c>
      <c r="K41" s="1" t="str">
        <v>index 计算耗时</v>
      </c>
      <c r="L41" s="1" t="str">
        <v>kv_a_proj 计算耗时</v>
      </c>
      <c r="M41" s="1" t="str">
        <v>kv_b_proj 计算耗时
*bf16</v>
      </c>
      <c r="N41" s="1" t="str">
        <v>attn 计算耗时
*bf16 精度，所以多乘了一个1.8</v>
      </c>
      <c r="O41" s="1" t="str">
        <v>v_b_proj 计算耗时
*bf16</v>
      </c>
      <c r="P41" s="1" t="str">
        <v>o_proj 计算耗时</v>
      </c>
      <c r="Q41" s="1" t="str">
        <v>element_wise&amp;topk
*包含 combine_q 等开销</v>
      </c>
      <c r="R41" s="17" t="str">
        <v>all_reduce</v>
      </c>
      <c r="S41" s="17" t="str">
        <v>ffn0 计算耗时</v>
      </c>
      <c r="T41" s="1" t="str">
        <v>ffn1 计算耗时</v>
      </c>
      <c r="U41" s="1" t="str">
        <v>all_reduce
*包含ep不均损耗</v>
      </c>
      <c r="V41" s="1" t="str">
        <v>all_layer耗时(ms)</v>
      </c>
      <c r="W41" s="1" t="str">
        <v>TTFT</v>
      </c>
      <c r="X41" s="1" t="str">
        <v>预估serving损耗</v>
      </c>
      <c r="Y41" s="1" t="str">
        <v>tps/card</v>
      </c>
      <c r="Z41" s="1" t="str">
        <v>cost1成本(元/百万Token)</v>
      </c>
      <c r="AA41" s="1" t="str">
        <v>cost3成本(元/百万Token)</v>
      </c>
      <c r="AB41" s="1"/>
      <c r="AC41" s="1"/>
      <c r="AD41" s="2"/>
      <c r="AE41" s="2"/>
      <c r="AF41" s="2"/>
      <c r="AG41" s="2"/>
      <c r="AH41" s="2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2"/>
      <c r="AY41" s="2"/>
      <c r="AZ41" s="2"/>
      <c r="BA41" s="2"/>
      <c r="BB41" s="2"/>
      <c r="BC41" s="2"/>
      <c r="BD41" s="2"/>
      <c r="BE41" s="2">
        <v>8000</v>
      </c>
      <c r="BF41" s="2">
        <v>800</v>
      </c>
      <c r="BG41" s="2">
        <v>2</v>
      </c>
      <c r="BH41" s="2">
        <v>8</v>
      </c>
      <c r="BI41" s="2">
        <v>1.5</v>
      </c>
      <c r="BJ41" s="2">
        <v>2.4</v>
      </c>
      <c r="BK41" s="15">
        <f>((BE41*BG41+BF41*BH41)/1.06-(BE41*BI41+BF41*BJ41))/((BE41*BG41+BF41*BH41)/1.06)</f>
      </c>
      <c r="BL41" s="2"/>
      <c r="BM41" s="2"/>
    </row>
    <row r="42">
      <c r="A42" s="1">
        <v>1</v>
      </c>
      <c r="B42" s="1">
        <v>1024</v>
      </c>
      <c r="C42" s="1"/>
      <c r="D42" s="1"/>
      <c r="E42" s="1">
        <f>B42*$H$10</f>
      </c>
      <c r="F42" s="12">
        <f>_xlfn.LAMBDA(m,n,k, 2*m*n*k*1000*1000/$P$2/1024/1024/1024/1024/$K$9)(B42,$S$10,$S$2)</f>
      </c>
      <c r="G42" s="12">
        <f>_xlfn.LAMBDA(m,n,k, 2*m*n*k*1000*1000/$P$9/1024/1024/1024/1024/$K$9)(B42, $S$3*(128+64)/$H$10, $S$10)</f>
      </c>
      <c r="H42" s="13">
        <f>_xlfn.LAMBDA(m,n,k, 2*m*n*k*1000*1000/$P$9/1024/1024/1024/1024/$K$9)(B42,$S$11*$S$12,$S$10)</f>
      </c>
      <c r="I42" s="11">
        <f>_xlfn.LAMBDA(m,n,k, 2*m*n*k*1000*1000/$P$9/1024/1024/1024/1024/$K$9)(B42,$S$11,$S$2)</f>
      </c>
      <c r="J42" s="11">
        <f>_xlfn.LAMBDA(m,n,k, 2*m*n*k*1000*1000/$P$14/1024/1024/1024/1024/$K$9)(B42,$S$12,$S$2)</f>
      </c>
      <c r="K42" s="11">
        <f>_xlfn.LAMBDA(seq_len, q_len, bs, 2*seq_len*seq_len/2*($S$12*$S$11/$P$12 + $S$12/$P$14)*1000*1000/1024/1024/1024/1024/$M$13/(seq_len/B42))(A42,$E$3,B42)</f>
      </c>
      <c r="L42" s="11">
        <f>_xlfn.LAMBDA(m,n,k, 2*m*n*k*1000*1000/$P$9/1024/1024/1024/1024/$K$9)(B42,$S$6,$S$2)</f>
      </c>
      <c r="M42" s="11">
        <f>_xlfn.LAMBDA(b, m,n,k, 2*b*m*n*k*1000*1000/$P$14/1024/1024/1024/1024/$K$9)($S$3, B42, 128, $S$7)</f>
      </c>
      <c r="N42" s="11">
        <f>_xlfn.LAMBDA(seq_len, q_len, bs, (MAX(seq_len - 2048, 0) + seq_len) * 2048 / 2 * 1.8*2*$S$3/$H$10*($S$6 + $S$7)*1000*1000/1000/1000/1000/1000/$P$12/$M$13/(A42/B42))(A42, A42,B42)</f>
      </c>
      <c r="O42" s="11">
        <f>_xlfn.LAMBDA(b, m,n,k, 2*b*m*n*k*1000*1000/$P$14/1024/1024/1024/1024/$K$9)($S$3,B42, 128, $S$7)</f>
      </c>
      <c r="P42" s="11">
        <f>_xlfn.LAMBDA(m,n,k, 2*m*n*k*1000*1000/$P$9/1024/1024/1024/1024/$K$9)(B42, $S$3*128/$H$10, $S$2)</f>
      </c>
      <c r="Q42" s="11">
        <v>2000</v>
      </c>
      <c r="R42" s="11">
        <f>_xlfn.LAMBDA(tp_size, hidden_size, batch_size, 2*batch_size*(tp_size-1)/tp_size*hidden_size*1000*1000/$P$11/1024/1024/1024/$K$13)($H$10, $S$2,B42)</f>
      </c>
      <c r="S42" s="11">
        <f>_xlfn.LAMBDA(m,n,k, 2*m*n*k*1000*1000/$P$9/1024/1024/1024/1024/$K$10)(B42*$U$2/$H$12,$S$8*2,$S$2)</f>
      </c>
      <c r="T42" s="11">
        <f>_xlfn.LAMBDA(m,n,k, 2*m*n*k*1000*1000/$P$9/1024/1024/1024/1024/$K$10)(B42*$U$2/$H$12,$S$2,$S$8)</f>
      </c>
      <c r="U42" s="11">
        <v>0</v>
      </c>
      <c r="V42" s="11">
        <f>CEILING($S$9/$H$11)*SUM(F42:U42)/1000</f>
      </c>
      <c r="W42" s="11">
        <f>CEILING(A42/B42)*V42+($H$11-1)*V42</f>
      </c>
      <c r="X42" s="11">
        <v>0.8</v>
      </c>
      <c r="Y42" s="11">
        <f>B42/(V42/1000)*X42/$H$9/(1-$E$7)</f>
      </c>
      <c r="Z42" s="11">
        <f>1000000*$P$15/24/60/60/Y42</f>
      </c>
      <c r="AA42" s="11">
        <f>Z42*$E$6</f>
      </c>
      <c r="AB42" s="11"/>
      <c r="AC42" s="11"/>
      <c r="AD42" s="2"/>
      <c r="AE42" s="2"/>
      <c r="AF42" s="2"/>
      <c r="AG42" s="2"/>
      <c r="AH42" s="2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>
      <c r="A43" s="1">
        <v>1024</v>
      </c>
      <c r="B43" s="1">
        <v>1024</v>
      </c>
      <c r="C43" s="1"/>
      <c r="D43" s="1"/>
      <c r="E43" s="1">
        <f>B43*$H$10</f>
      </c>
      <c r="F43" s="12">
        <f>_xlfn.LAMBDA(m,n,k, 2*m*n*k*1000*1000/$P$2/1024/1024/1024/1024/$K$9)(B43,$S$10,$S$2)</f>
      </c>
      <c r="G43" s="12">
        <f>_xlfn.LAMBDA(m,n,k, 2*m*n*k*1000*1000/$P$9/1024/1024/1024/1024/$K$9)(B43, $S$3*(128+64)/$H$10, $S$10)</f>
      </c>
      <c r="H43" s="13">
        <f>_xlfn.LAMBDA(m,n,k, 2*m*n*k*1000*1000/$P$9/1024/1024/1024/1024/$K$9)(B43,$S$11*$S$12,$S$10)</f>
      </c>
      <c r="I43" s="11">
        <f>_xlfn.LAMBDA(m,n,k, 2*m*n*k*1000*1000/$P$9/1024/1024/1024/1024/$K$9)(B43,$S$11,$S$2)</f>
      </c>
      <c r="J43" s="11">
        <f>_xlfn.LAMBDA(m,n,k, 2*m*n*k*1000*1000/$P$14/1024/1024/1024/1024/$K$9)(B43,$S$12,$S$2)</f>
      </c>
      <c r="K43" s="11">
        <f>_xlfn.LAMBDA(seq_len, q_len, bs, 2*seq_len*seq_len/2*($S$12*$S$11/$P$12 + $S$12/$P$14)*1000*1000/1024/1024/1024/1024/$M$13/(seq_len/B43))(A43,$E$3,B43)</f>
      </c>
      <c r="L43" s="11">
        <f>_xlfn.LAMBDA(m,n,k, 2*m*n*k*1000*1000/$P$9/1024/1024/1024/1024/$K$9)(B43,$S$6,$S$2)</f>
      </c>
      <c r="M43" s="11">
        <f>_xlfn.LAMBDA(b, m,n,k, 2*b*m*n*k*1000*1000/$P$14/1024/1024/1024/1024/$K$9)($S$3, B43, 128, $S$7)</f>
      </c>
      <c r="N43" s="11">
        <f>_xlfn.LAMBDA(seq_len, q_len, bs, (MAX(seq_len - 2048, 0) + seq_len) * 2048 / 2 * 1.8*2*$S$3/$H$10*($S$6 + $S$7)*1000*1000/1000/1000/1000/1000/$P$12/$M$13/(A43/B43))(A43, A43,B43)</f>
      </c>
      <c r="O43" s="11">
        <f>_xlfn.LAMBDA(b, m,n,k, 2*b*m*n*k*1000*1000/$P$14/1024/1024/1024/1024/$K$9)($S$3,B43, 128, $S$7)</f>
      </c>
      <c r="P43" s="11">
        <f>_xlfn.LAMBDA(m,n,k, 2*m*n*k*1000*1000/$P$9/1024/1024/1024/1024/$K$9)(B43, $S$3*128/$H$10, $S$2)</f>
      </c>
      <c r="Q43" s="11">
        <v>2000</v>
      </c>
      <c r="R43" s="11">
        <f>_xlfn.LAMBDA(tp_size, hidden_size, batch_size, 2*batch_size*(tp_size-1)/tp_size*hidden_size*1000*1000/$P$11/1024/1024/1024/$K$13)($H$10, $S$2,B43)</f>
      </c>
      <c r="S43" s="11">
        <f>_xlfn.LAMBDA(m,n,k, 2*m*n*k*1000*1000/$P$9/1024/1024/1024/1024/$K$10)(B43*$U$2/$H$12,$S$8*2,$S$2)</f>
      </c>
      <c r="T43" s="11">
        <f>_xlfn.LAMBDA(m,n,k, 2*m*n*k*1000*1000/$P$9/1024/1024/1024/1024/$K$10)(B43*$U$2/$H$12,$S$2,$S$8)</f>
      </c>
      <c r="U43" s="11">
        <v>0</v>
      </c>
      <c r="V43" s="11">
        <f>CEILING($S$9/$H$11)*SUM(F43:U43)/1000</f>
      </c>
      <c r="W43" s="11">
        <f>CEILING(A43/B43)*V43+($H$11-1)*V43</f>
      </c>
      <c r="X43" s="11">
        <v>0.8</v>
      </c>
      <c r="Y43" s="11">
        <f>B43/(V43/1000)*X43/$H$9/(1-$E$7)</f>
      </c>
      <c r="Z43" s="11">
        <f>1000000*$P$15/24/60/60/Y43</f>
      </c>
      <c r="AA43" s="11">
        <f>Z43*$E$6</f>
      </c>
      <c r="AB43" s="11"/>
      <c r="AC43" s="11"/>
      <c r="AD43" s="2"/>
      <c r="AE43" s="2"/>
      <c r="AF43" s="2"/>
      <c r="AG43" s="2"/>
      <c r="AH43" s="2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>
      <c r="A44" s="1">
        <v>2048</v>
      </c>
      <c r="B44" s="1">
        <v>1024</v>
      </c>
      <c r="C44" s="1"/>
      <c r="D44" s="1"/>
      <c r="E44" s="1">
        <f>B44*$H$10</f>
      </c>
      <c r="F44" s="12">
        <f>_xlfn.LAMBDA(m,n,k, 2*m*n*k*1000*1000/$P$2/1024/1024/1024/1024/$K$9)(B44,$S$10,$S$2)</f>
      </c>
      <c r="G44" s="12">
        <f>_xlfn.LAMBDA(m,n,k, 2*m*n*k*1000*1000/$P$9/1024/1024/1024/1024/$K$9)(B44, $S$3*(128+64)/$H$10, $S$10)</f>
      </c>
      <c r="H44" s="13">
        <f>_xlfn.LAMBDA(m,n,k, 2*m*n*k*1000*1000/$P$9/1024/1024/1024/1024/$K$9)(B44,$S$11*$S$12,$S$10)</f>
      </c>
      <c r="I44" s="11">
        <f>_xlfn.LAMBDA(m,n,k, 2*m*n*k*1000*1000/$P$9/1024/1024/1024/1024/$K$9)(B44,$S$11,$S$2)</f>
      </c>
      <c r="J44" s="11">
        <f>_xlfn.LAMBDA(m,n,k, 2*m*n*k*1000*1000/$P$14/1024/1024/1024/1024/$K$9)(B44,$S$12,$S$2)</f>
      </c>
      <c r="K44" s="11">
        <f>_xlfn.LAMBDA(seq_len, q_len, bs, 2*seq_len*seq_len/2*($S$12*$S$11/$P$12 + $S$12/$P$14)*1000*1000/1024/1024/1024/1024/$M$13/(seq_len/B44))(A44,$E$3,B44)</f>
      </c>
      <c r="L44" s="11">
        <f>_xlfn.LAMBDA(m,n,k, 2*m*n*k*1000*1000/$P$9/1024/1024/1024/1024/$K$9)(B44,$S$6,$S$2)</f>
      </c>
      <c r="M44" s="11">
        <f>_xlfn.LAMBDA(b, m,n,k, 2*b*m*n*k*1000*1000/$P$14/1024/1024/1024/1024/$K$9)($S$3, B44, 128, $S$7)</f>
      </c>
      <c r="N44" s="11">
        <f>_xlfn.LAMBDA(seq_len, q_len, bs, (MAX(seq_len - 2048, 0) + seq_len) * 2048 / 2 * 1.8*2*$S$3/$H$10*($S$6 + $S$7)*1000*1000/1000/1000/1000/1000/$P$12/$M$13/(A44/B44))(A44, A44,B44)</f>
      </c>
      <c r="O44" s="11">
        <f>_xlfn.LAMBDA(b, m,n,k, 2*b*m*n*k*1000*1000/$P$14/1024/1024/1024/1024/$K$9)($S$3,B44, 128, $S$7)</f>
      </c>
      <c r="P44" s="11">
        <f>_xlfn.LAMBDA(m,n,k, 2*m*n*k*1000*1000/$P$9/1024/1024/1024/1024/$K$9)(B44, $S$3*128/$H$10, $S$2)</f>
      </c>
      <c r="Q44" s="11">
        <v>2000</v>
      </c>
      <c r="R44" s="11">
        <f>_xlfn.LAMBDA(tp_size, hidden_size, batch_size, 2*batch_size*(tp_size-1)/tp_size*hidden_size*1000*1000/$P$11/1024/1024/1024/$K$13)($H$10, $S$2,B44)</f>
      </c>
      <c r="S44" s="11">
        <f>_xlfn.LAMBDA(m,n,k, 2*m*n*k*1000*1000/$P$9/1024/1024/1024/1024/$K$10)(B44*$U$2/$H$12,$S$8*2,$S$2)</f>
      </c>
      <c r="T44" s="11">
        <f>_xlfn.LAMBDA(m,n,k, 2*m*n*k*1000*1000/$P$9/1024/1024/1024/1024/$K$10)(B44*$U$2/$H$12,$S$2,$S$8)</f>
      </c>
      <c r="U44" s="11">
        <v>0</v>
      </c>
      <c r="V44" s="11">
        <f>CEILING($S$9/$H$11)*SUM(F44:U44)/1000</f>
      </c>
      <c r="W44" s="11">
        <f>CEILING(A44/B44)*V44+($H$11-1)*V44</f>
      </c>
      <c r="X44" s="11">
        <v>0.8</v>
      </c>
      <c r="Y44" s="11">
        <f>B44/(V44/1000)*X44/$H$9/(1-$E$7)</f>
      </c>
      <c r="Z44" s="11">
        <f>1000000*$P$15/24/60/60/Y44</f>
      </c>
      <c r="AA44" s="11">
        <f>Z44*$E$6</f>
      </c>
      <c r="AB44" s="11"/>
      <c r="AC44" s="11"/>
      <c r="AD44" s="2"/>
      <c r="AE44" s="2"/>
      <c r="AF44" s="2"/>
      <c r="AG44" s="2"/>
      <c r="AH44" s="2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>
      <c r="A45" s="1">
        <v>3072</v>
      </c>
      <c r="B45" s="1">
        <v>1024</v>
      </c>
      <c r="C45" s="1"/>
      <c r="D45" s="1"/>
      <c r="E45" s="1">
        <f>B45*$H$10</f>
      </c>
      <c r="F45" s="12">
        <f>_xlfn.LAMBDA(m,n,k, 2*m*n*k*1000*1000/$P$2/1024/1024/1024/1024/$K$9)(B45,$S$10,$S$2)</f>
      </c>
      <c r="G45" s="12">
        <f>_xlfn.LAMBDA(m,n,k, 2*m*n*k*1000*1000/$P$9/1024/1024/1024/1024/$K$9)(B45, $S$3*(128+64)/$H$10, $S$10)</f>
      </c>
      <c r="H45" s="13">
        <f>_xlfn.LAMBDA(m,n,k, 2*m*n*k*1000*1000/$P$9/1024/1024/1024/1024/$K$9)(B45,$S$11*$S$12,$S$10)</f>
      </c>
      <c r="I45" s="11">
        <f>_xlfn.LAMBDA(m,n,k, 2*m*n*k*1000*1000/$P$9/1024/1024/1024/1024/$K$9)(B45,$S$11,$S$2)</f>
      </c>
      <c r="J45" s="11">
        <f>_xlfn.LAMBDA(m,n,k, 2*m*n*k*1000*1000/$P$14/1024/1024/1024/1024/$K$9)(B45,$S$12,$S$2)</f>
      </c>
      <c r="K45" s="11">
        <f>_xlfn.LAMBDA(seq_len, q_len, bs, 2*seq_len*seq_len/2*($S$12*$S$11/$P$12 + $S$12/$P$14)*1000*1000/1024/1024/1024/1024/$M$13/(seq_len/B45))(A45,$E$3,B45)</f>
      </c>
      <c r="L45" s="11">
        <f>_xlfn.LAMBDA(m,n,k, 2*m*n*k*1000*1000/$P$9/1024/1024/1024/1024/$K$9)(B45,$S$6,$S$2)</f>
      </c>
      <c r="M45" s="11">
        <f>_xlfn.LAMBDA(b, m,n,k, 2*b*m*n*k*1000*1000/$P$14/1024/1024/1024/1024/$K$9)($S$3, B45, 128, $S$7)</f>
      </c>
      <c r="N45" s="11">
        <f>_xlfn.LAMBDA(seq_len, q_len, bs, (MAX(seq_len - 2048, 0) + seq_len) * 2048 / 2 * 1.8*2*$S$3/$H$10*($S$6 + $S$7)*1000*1000/1000/1000/1000/1000/$P$12/$M$13/(A45/B45))(A45, A45,B45)</f>
      </c>
      <c r="O45" s="11">
        <f>_xlfn.LAMBDA(b, m,n,k, 2*b*m*n*k*1000*1000/$P$14/1024/1024/1024/1024/$K$9)($S$3,B45, 128, $S$7)</f>
      </c>
      <c r="P45" s="11">
        <f>_xlfn.LAMBDA(m,n,k, 2*m*n*k*1000*1000/$P$9/1024/1024/1024/1024/$K$9)(B45, $S$3*128/$H$10, $S$2)</f>
      </c>
      <c r="Q45" s="11">
        <v>2000</v>
      </c>
      <c r="R45" s="11">
        <f>_xlfn.LAMBDA(tp_size, hidden_size, batch_size, 2*batch_size*(tp_size-1)/tp_size*hidden_size*1000*1000/$P$11/1024/1024/1024/$K$13)($H$10, $S$2,B45)</f>
      </c>
      <c r="S45" s="11">
        <f>_xlfn.LAMBDA(m,n,k, 2*m*n*k*1000*1000/$P$9/1024/1024/1024/1024/$K$10)(B45*$U$2/$H$12,$S$8*2,$S$2)</f>
      </c>
      <c r="T45" s="11">
        <f>_xlfn.LAMBDA(m,n,k, 2*m*n*k*1000*1000/$P$9/1024/1024/1024/1024/$K$10)(B45*$U$2/$H$12,$S$2,$S$8)</f>
      </c>
      <c r="U45" s="11">
        <v>0</v>
      </c>
      <c r="V45" s="11">
        <f>CEILING($S$9/$H$11)*SUM(F45:U45)/1000</f>
      </c>
      <c r="W45" s="11">
        <f>CEILING(A45/B45)*V45+($H$11-1)*V45</f>
      </c>
      <c r="X45" s="11">
        <v>0.8</v>
      </c>
      <c r="Y45" s="11">
        <f>B45/(V45/1000)*X45/$H$9/(1-$E$7)</f>
      </c>
      <c r="Z45" s="11">
        <f>1000000*$P$15/24/60/60/Y45</f>
      </c>
      <c r="AA45" s="11">
        <f>Z45*$E$6</f>
      </c>
      <c r="AB45" s="11"/>
      <c r="AC45" s="11"/>
      <c r="AD45" s="2"/>
      <c r="AE45" s="2"/>
      <c r="AF45" s="2"/>
      <c r="AG45" s="2"/>
      <c r="AH45" s="2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>
      <c r="A46" s="1">
        <v>4096</v>
      </c>
      <c r="B46" s="1">
        <v>1024</v>
      </c>
      <c r="C46" s="1"/>
      <c r="D46" s="1"/>
      <c r="E46" s="1">
        <f>B46*$H$10</f>
      </c>
      <c r="F46" s="12">
        <f>_xlfn.LAMBDA(m,n,k, 2*m*n*k*1000*1000/$P$2/1024/1024/1024/1024/$K$9)(B46,$S$10,$S$2)</f>
      </c>
      <c r="G46" s="12">
        <f>_xlfn.LAMBDA(m,n,k, 2*m*n*k*1000*1000/$P$9/1024/1024/1024/1024/$K$9)(B46, $S$3*(128+64)/$H$10, $S$10)</f>
      </c>
      <c r="H46" s="13">
        <f>_xlfn.LAMBDA(m,n,k, 2*m*n*k*1000*1000/$P$9/1024/1024/1024/1024/$K$9)(B46,$S$11*$S$12,$S$10)</f>
      </c>
      <c r="I46" s="11">
        <f>_xlfn.LAMBDA(m,n,k, 2*m*n*k*1000*1000/$P$9/1024/1024/1024/1024/$K$9)(B46,$S$11,$S$2)</f>
      </c>
      <c r="J46" s="11">
        <f>_xlfn.LAMBDA(m,n,k, 2*m*n*k*1000*1000/$P$14/1024/1024/1024/1024/$K$9)(B46,$S$12,$S$2)</f>
      </c>
      <c r="K46" s="11">
        <f>_xlfn.LAMBDA(seq_len, q_len, bs, 2*seq_len*seq_len/2*($S$12*$S$11/$P$12 + $S$12/$P$14)*1000*1000/1024/1024/1024/1024/$M$13/(seq_len/B46))(A46,$E$3,B46)</f>
      </c>
      <c r="L46" s="11">
        <f>_xlfn.LAMBDA(m,n,k, 2*m*n*k*1000*1000/$P$9/1024/1024/1024/1024/$K$9)(B46,$S$6,$S$2)</f>
      </c>
      <c r="M46" s="11">
        <f>_xlfn.LAMBDA(b, m,n,k, 2*b*m*n*k*1000*1000/$P$14/1024/1024/1024/1024/$K$9)($S$3, B46, 128, $S$7)</f>
      </c>
      <c r="N46" s="11">
        <f>_xlfn.LAMBDA(seq_len, q_len, bs, (MAX(seq_len - 2048, 0) + seq_len) * 2048 / 2 * 1.8*2*$S$3/$H$10*($S$6 + $S$7)*1000*1000/1000/1000/1000/1000/$P$12/$M$13/(A46/B46))(A46, A46,B46)</f>
      </c>
      <c r="O46" s="11">
        <f>_xlfn.LAMBDA(b, m,n,k, 2*b*m*n*k*1000*1000/$P$14/1024/1024/1024/1024/$K$9)($S$3,B46, 128, $S$7)</f>
      </c>
      <c r="P46" s="11">
        <f>_xlfn.LAMBDA(m,n,k, 2*m*n*k*1000*1000/$P$9/1024/1024/1024/1024/$K$9)(B46, $S$3*128/$H$10, $S$2)</f>
      </c>
      <c r="Q46" s="11">
        <v>2000</v>
      </c>
      <c r="R46" s="11">
        <f>_xlfn.LAMBDA(tp_size, hidden_size, batch_size, 2*batch_size*(tp_size-1)/tp_size*hidden_size*1000*1000/$P$11/1024/1024/1024/$K$13)($H$10, $S$2,B46)</f>
      </c>
      <c r="S46" s="11">
        <f>_xlfn.LAMBDA(m,n,k, 2*m*n*k*1000*1000/$P$9/1024/1024/1024/1024/$K$10)(B46*$U$2/$H$12,$S$8*2,$S$2)</f>
      </c>
      <c r="T46" s="11">
        <f>_xlfn.LAMBDA(m,n,k, 2*m*n*k*1000*1000/$P$9/1024/1024/1024/1024/$K$10)(B46*$U$2/$H$12,$S$2,$S$8)</f>
      </c>
      <c r="U46" s="11">
        <v>0</v>
      </c>
      <c r="V46" s="11">
        <f>CEILING($S$9/$H$11)*SUM(F46:U46)/1000</f>
      </c>
      <c r="W46" s="11">
        <f>CEILING(A46/B46)*V46+($H$11-1)*V46</f>
      </c>
      <c r="X46" s="11">
        <v>0.8</v>
      </c>
      <c r="Y46" s="11">
        <f>B46/(V46/1000)*X46/$H$9/(1-$E$7)</f>
      </c>
      <c r="Z46" s="11">
        <f>1000000*$P$15/24/60/60/Y46</f>
      </c>
      <c r="AA46" s="11">
        <f>Z46*$E$6</f>
      </c>
      <c r="AB46" s="11"/>
      <c r="AC46" s="11"/>
      <c r="AD46" s="2"/>
      <c r="AE46" s="2"/>
      <c r="AF46" s="2"/>
      <c r="AG46" s="2"/>
      <c r="AH46" s="2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>
      <c r="A47" s="1">
        <v>8192</v>
      </c>
      <c r="B47" s="1">
        <v>1024</v>
      </c>
      <c r="C47" s="1"/>
      <c r="D47" s="1"/>
      <c r="E47" s="1">
        <f>B47*$H$10</f>
      </c>
      <c r="F47" s="12">
        <f>_xlfn.LAMBDA(m,n,k, 2*m*n*k*1000*1000/$P$2/1024/1024/1024/1024/$K$9)(B47,$S$10,$S$2)</f>
      </c>
      <c r="G47" s="12">
        <f>_xlfn.LAMBDA(m,n,k, 2*m*n*k*1000*1000/$P$9/1024/1024/1024/1024/$K$9)(B47, $S$3*(128+64)/$H$10, $S$10)</f>
      </c>
      <c r="H47" s="13">
        <f>_xlfn.LAMBDA(m,n,k, 2*m*n*k*1000*1000/$P$9/1024/1024/1024/1024/$K$9)(B47,$S$11*$S$12,$S$10)</f>
      </c>
      <c r="I47" s="11">
        <f>_xlfn.LAMBDA(m,n,k, 2*m*n*k*1000*1000/$P$9/1024/1024/1024/1024/$K$9)(B47,$S$11,$S$2)</f>
      </c>
      <c r="J47" s="11">
        <f>_xlfn.LAMBDA(m,n,k, 2*m*n*k*1000*1000/$P$14/1024/1024/1024/1024/$K$9)(B47,$S$12,$S$2)</f>
      </c>
      <c r="K47" s="11">
        <f>_xlfn.LAMBDA(seq_len, q_len, bs, 2*seq_len*seq_len/2*($S$12*$S$11/$P$12 + $S$12/$P$14)*1000*1000/1024/1024/1024/1024/$M$13/(seq_len/B47))(A47,$E$3,B47)</f>
      </c>
      <c r="L47" s="11">
        <f>_xlfn.LAMBDA(m,n,k, 2*m*n*k*1000*1000/$P$9/1024/1024/1024/1024/$K$9)(B47,$S$6,$S$2)</f>
      </c>
      <c r="M47" s="11">
        <f>_xlfn.LAMBDA(b, m,n,k, 2*b*m*n*k*1000*1000/$P$14/1024/1024/1024/1024/$K$9)($S$3, B47, 128, $S$7)</f>
      </c>
      <c r="N47" s="11">
        <f>_xlfn.LAMBDA(seq_len, q_len, bs, (MAX(seq_len - 2048, 0) + seq_len) * 2048 / 2 * 1.8*2*$S$3/$H$10*($S$6 + $S$7)*1000*1000/1000/1000/1000/1000/$P$12/$M$13/(A47/B47))(A47, A47,B47)</f>
      </c>
      <c r="O47" s="11">
        <f>_xlfn.LAMBDA(b, m,n,k, 2*b*m*n*k*1000*1000/$P$14/1024/1024/1024/1024/$K$9)($S$3,B47, 128, $S$7)</f>
      </c>
      <c r="P47" s="11">
        <f>_xlfn.LAMBDA(m,n,k, 2*m*n*k*1000*1000/$P$9/1024/1024/1024/1024/$K$9)(B47, $S$3*128/$H$10, $S$2)</f>
      </c>
      <c r="Q47" s="11">
        <v>2000</v>
      </c>
      <c r="R47" s="11">
        <f>_xlfn.LAMBDA(tp_size, hidden_size, batch_size, 2*batch_size*(tp_size-1)/tp_size*hidden_size*1000*1000/$P$11/1024/1024/1024/$K$13)($H$10, $S$2,B47)</f>
      </c>
      <c r="S47" s="11">
        <f>_xlfn.LAMBDA(m,n,k, 2*m*n*k*1000*1000/$P$9/1024/1024/1024/1024/$K$10)(B47*$U$2/$H$12,$S$8*2,$S$2)</f>
      </c>
      <c r="T47" s="11">
        <f>_xlfn.LAMBDA(m,n,k, 2*m*n*k*1000*1000/$P$9/1024/1024/1024/1024/$K$10)(B47*$U$2/$H$12,$S$2,$S$8)</f>
      </c>
      <c r="U47" s="11">
        <v>0</v>
      </c>
      <c r="V47" s="11">
        <f>CEILING($S$9/$H$11)*SUM(F47:U47)/1000</f>
      </c>
      <c r="W47" s="11">
        <f>CEILING(A47/B47)*V47+($H$11-1)*V47</f>
      </c>
      <c r="X47" s="11">
        <v>0.8</v>
      </c>
      <c r="Y47" s="11">
        <f>B47/(V47/1000)*X47/$H$9/(1-$E$7)</f>
      </c>
      <c r="Z47" s="11">
        <f>1000000*$P$15/24/60/60/Y47</f>
      </c>
      <c r="AA47" s="11">
        <f>Z47*$E$6</f>
      </c>
      <c r="AB47" s="11"/>
      <c r="AC47" s="11"/>
      <c r="AD47" s="2"/>
      <c r="AE47" s="2"/>
      <c r="AF47" s="2"/>
      <c r="AG47" s="2"/>
      <c r="AH47" s="2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>
      <c r="A48" s="1">
        <v>10240</v>
      </c>
      <c r="B48" s="1">
        <v>1024</v>
      </c>
      <c r="C48" s="1"/>
      <c r="D48" s="1"/>
      <c r="E48" s="1">
        <f>B48*$H$10</f>
      </c>
      <c r="F48" s="12">
        <f>_xlfn.LAMBDA(m,n,k, 2*m*n*k*1000*1000/$P$2/1024/1024/1024/1024/$K$9)(B48,$S$10,$S$2)</f>
      </c>
      <c r="G48" s="12">
        <f>_xlfn.LAMBDA(m,n,k, 2*m*n*k*1000*1000/$P$9/1024/1024/1024/1024/$K$9)(B48, $S$3*(128+64)/$H$10, $S$10)</f>
      </c>
      <c r="H48" s="13">
        <f>_xlfn.LAMBDA(m,n,k, 2*m*n*k*1000*1000/$P$9/1024/1024/1024/1024/$K$9)(B48,$S$11*$S$12,$S$10)</f>
      </c>
      <c r="I48" s="11">
        <f>_xlfn.LAMBDA(m,n,k, 2*m*n*k*1000*1000/$P$9/1024/1024/1024/1024/$K$9)(B48,$S$11,$S$2)</f>
      </c>
      <c r="J48" s="11">
        <f>_xlfn.LAMBDA(m,n,k, 2*m*n*k*1000*1000/$P$14/1024/1024/1024/1024/$K$9)(B48,$S$12,$S$2)</f>
      </c>
      <c r="K48" s="11">
        <f>_xlfn.LAMBDA(seq_len, q_len, bs, 2*seq_len*seq_len/2*($S$12*$S$11/$P$12 + $S$12/$P$14)*1000*1000/1024/1024/1024/1024/$M$13/(seq_len/B48))(A48,$E$3,B48)</f>
      </c>
      <c r="L48" s="11">
        <f>_xlfn.LAMBDA(m,n,k, 2*m*n*k*1000*1000/$P$9/1024/1024/1024/1024/$K$9)(B48,$S$6,$S$2)</f>
      </c>
      <c r="M48" s="11">
        <f>_xlfn.LAMBDA(b, m,n,k, 2*b*m*n*k*1000*1000/$P$14/1024/1024/1024/1024/$K$9)($S$3, B48, 128, $S$7)</f>
      </c>
      <c r="N48" s="11">
        <f>_xlfn.LAMBDA(seq_len, q_len, bs, (MAX(seq_len - 2048, 0) + seq_len) * 2048 / 2 * 1.8*2*$S$3/$H$10*($S$6 + $S$7)*1000*1000/1000/1000/1000/1000/$P$12/$M$13/(A48/B48))(A48, A48,B48)</f>
      </c>
      <c r="O48" s="11">
        <f>_xlfn.LAMBDA(b, m,n,k, 2*b*m*n*k*1000*1000/$P$14/1024/1024/1024/1024/$K$9)($S$3,B48, 128, $S$7)</f>
      </c>
      <c r="P48" s="11">
        <f>_xlfn.LAMBDA(m,n,k, 2*m*n*k*1000*1000/$P$9/1024/1024/1024/1024/$K$9)(B48, $S$3*128/$H$10, $S$2)</f>
      </c>
      <c r="Q48" s="11">
        <v>2000</v>
      </c>
      <c r="R48" s="11">
        <f>_xlfn.LAMBDA(tp_size, hidden_size, batch_size, 2*batch_size*(tp_size-1)/tp_size*hidden_size*1000*1000/$P$11/1024/1024/1024/$K$13)($H$10, $S$2,B48)</f>
      </c>
      <c r="S48" s="11">
        <f>_xlfn.LAMBDA(m,n,k, 2*m*n*k*1000*1000/$P$9/1024/1024/1024/1024/$K$10)(B48*$U$2/$H$12,$S$8*2,$S$2)</f>
      </c>
      <c r="T48" s="11">
        <f>_xlfn.LAMBDA(m,n,k, 2*m*n*k*1000*1000/$P$9/1024/1024/1024/1024/$K$10)(B48*$U$2/$H$12,$S$2,$S$8)</f>
      </c>
      <c r="U48" s="11">
        <v>0</v>
      </c>
      <c r="V48" s="11">
        <f>CEILING($S$9/$H$11)*SUM(F48:U48)/1000</f>
      </c>
      <c r="W48" s="11">
        <f>CEILING(A48/B48)*V48+($H$11-1)*V48</f>
      </c>
      <c r="X48" s="11">
        <v>0.8</v>
      </c>
      <c r="Y48" s="11">
        <f>B48/(V48/1000)*X48/$H$9/(1-$E$7)</f>
      </c>
      <c r="Z48" s="11">
        <f>1000000*$P$15/24/60/60/Y48</f>
      </c>
      <c r="AA48" s="11">
        <f>Z48*$E$6</f>
      </c>
      <c r="AB48" s="11"/>
      <c r="AC48" s="11"/>
      <c r="AD48" s="2"/>
      <c r="AE48" s="2"/>
      <c r="AF48" s="2"/>
      <c r="AG48" s="2"/>
      <c r="AH48" s="2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>
      <c r="A49" s="1">
        <v>16384</v>
      </c>
      <c r="B49" s="1">
        <v>1024</v>
      </c>
      <c r="C49" s="1"/>
      <c r="D49" s="1"/>
      <c r="E49" s="1">
        <f>B49*$H$10</f>
      </c>
      <c r="F49" s="12">
        <f>_xlfn.LAMBDA(m,n,k, 2*m*n*k*1000*1000/$P$2/1024/1024/1024/1024/$K$9)(B49,$S$10,$S$2)</f>
      </c>
      <c r="G49" s="12">
        <f>_xlfn.LAMBDA(m,n,k, 2*m*n*k*1000*1000/$P$9/1024/1024/1024/1024/$K$9)(B49, $S$3*(128+64)/$H$10, $S$10)</f>
      </c>
      <c r="H49" s="13">
        <f>_xlfn.LAMBDA(m,n,k, 2*m*n*k*1000*1000/$P$9/1024/1024/1024/1024/$K$9)(B49,$S$11*$S$12,$S$10)</f>
      </c>
      <c r="I49" s="11">
        <f>_xlfn.LAMBDA(m,n,k, 2*m*n*k*1000*1000/$P$9/1024/1024/1024/1024/$K$9)(B49,$S$11,$S$2)</f>
      </c>
      <c r="J49" s="11">
        <f>_xlfn.LAMBDA(m,n,k, 2*m*n*k*1000*1000/$P$14/1024/1024/1024/1024/$K$9)(B49,$S$12,$S$2)</f>
      </c>
      <c r="K49" s="11">
        <f>_xlfn.LAMBDA(seq_len, q_len, bs, 2*seq_len*seq_len/2*($S$12*$S$11/$P$12 + $S$12/$P$14)*1000*1000/1024/1024/1024/1024/$M$13/(seq_len/B49))(A49,$E$3,B49)</f>
      </c>
      <c r="L49" s="11">
        <f>_xlfn.LAMBDA(m,n,k, 2*m*n*k*1000*1000/$P$9/1024/1024/1024/1024/$K$9)(B49,$S$6,$S$2)</f>
      </c>
      <c r="M49" s="11">
        <f>_xlfn.LAMBDA(b, m,n,k, 2*b*m*n*k*1000*1000/$P$14/1024/1024/1024/1024/$K$9)($S$3, B49, 128, $S$7)</f>
      </c>
      <c r="N49" s="11">
        <f>_xlfn.LAMBDA(seq_len, q_len, bs, (MAX(seq_len - 2048, 0) + seq_len) * 2048 / 2 * 1.8*2*$S$3/$H$10*($S$6 + $S$7)*1000*1000/1000/1000/1000/1000/$P$12/$M$13/(A49/B49))(A49, A49,B49)</f>
      </c>
      <c r="O49" s="11">
        <f>_xlfn.LAMBDA(b, m,n,k, 2*b*m*n*k*1000*1000/$P$14/1024/1024/1024/1024/$K$9)($S$3,B49, 128, $S$7)</f>
      </c>
      <c r="P49" s="11">
        <f>_xlfn.LAMBDA(m,n,k, 2*m*n*k*1000*1000/$P$9/1024/1024/1024/1024/$K$9)(B49, $S$3*128/$H$10, $S$2)</f>
      </c>
      <c r="Q49" s="11">
        <v>2000</v>
      </c>
      <c r="R49" s="11">
        <f>_xlfn.LAMBDA(tp_size, hidden_size, batch_size, 2*batch_size*(tp_size-1)/tp_size*hidden_size*1000*1000/$P$11/1024/1024/1024/$K$13)($H$10, $S$2,B49)</f>
      </c>
      <c r="S49" s="11">
        <f>_xlfn.LAMBDA(m,n,k, 2*m*n*k*1000*1000/$P$9/1024/1024/1024/1024/$K$10)(B49*$U$2/$H$12,$S$8*2,$S$2)</f>
      </c>
      <c r="T49" s="11">
        <f>_xlfn.LAMBDA(m,n,k, 2*m*n*k*1000*1000/$P$9/1024/1024/1024/1024/$K$10)(B49*$U$2/$H$12,$S$2,$S$8)</f>
      </c>
      <c r="U49" s="11">
        <v>0</v>
      </c>
      <c r="V49" s="11">
        <f>CEILING($S$9/$H$11)*SUM(F49:U49)/1000</f>
      </c>
      <c r="W49" s="11">
        <f>CEILING(A49/B49)*V49+($H$11-1)*V49</f>
      </c>
      <c r="X49" s="11">
        <v>0.8</v>
      </c>
      <c r="Y49" s="11">
        <f>B49/(V49/1000)*X49/$H$9/(1-$E$7)</f>
      </c>
      <c r="Z49" s="11">
        <f>1000000*$P$15/24/60/60/Y49</f>
      </c>
      <c r="AA49" s="11">
        <f>Z49*$E$6</f>
      </c>
      <c r="AB49" s="11"/>
      <c r="AC49" s="11"/>
      <c r="AD49" s="2"/>
      <c r="AE49" s="2"/>
      <c r="AF49" s="2"/>
      <c r="AG49" s="2"/>
      <c r="AH49" s="2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>
      <c r="A50" s="1">
        <f>20*1024</f>
      </c>
      <c r="B50" s="1">
        <v>1024</v>
      </c>
      <c r="C50" s="1"/>
      <c r="D50" s="1"/>
      <c r="E50" s="1">
        <f>B50*$H$10</f>
      </c>
      <c r="F50" s="12">
        <f>_xlfn.LAMBDA(m,n,k, 2*m*n*k*1000*1000/$P$2/1024/1024/1024/1024/$K$9)(B50,$S$10,$S$2)</f>
      </c>
      <c r="G50" s="12">
        <f>_xlfn.LAMBDA(m,n,k, 2*m*n*k*1000*1000/$P$9/1024/1024/1024/1024/$K$9)(B50, $S$3*(128+64)/$H$10, $S$10)</f>
      </c>
      <c r="H50" s="13">
        <f>_xlfn.LAMBDA(m,n,k, 2*m*n*k*1000*1000/$P$9/1024/1024/1024/1024/$K$9)(B50,$S$11*$S$12,$S$10)</f>
      </c>
      <c r="I50" s="11">
        <f>_xlfn.LAMBDA(m,n,k, 2*m*n*k*1000*1000/$P$9/1024/1024/1024/1024/$K$9)(B50,$S$11,$S$2)</f>
      </c>
      <c r="J50" s="11">
        <f>_xlfn.LAMBDA(m,n,k, 2*m*n*k*1000*1000/$P$14/1024/1024/1024/1024/$K$9)(B50,$S$12,$S$2)</f>
      </c>
      <c r="K50" s="11">
        <f>_xlfn.LAMBDA(seq_len, q_len, bs, 2*seq_len*seq_len/2*($S$12*$S$11/$P$12 + $S$12/$P$14)*1000*1000/1024/1024/1024/1024/$M$13/(seq_len/B50))(A50,$E$3,B50)</f>
      </c>
      <c r="L50" s="11">
        <f>_xlfn.LAMBDA(m,n,k, 2*m*n*k*1000*1000/$P$9/1024/1024/1024/1024/$K$9)(B50,$S$6,$S$2)</f>
      </c>
      <c r="M50" s="11">
        <f>_xlfn.LAMBDA(b, m,n,k, 2*b*m*n*k*1000*1000/$P$14/1024/1024/1024/1024/$K$9)($S$3, B50, 128, $S$7)</f>
      </c>
      <c r="N50" s="11">
        <f>_xlfn.LAMBDA(seq_len, q_len, bs, (MAX(seq_len - 2048, 0) + seq_len) * 2048 / 2 * 1.8*2*$S$3/$H$10*($S$6 + $S$7)*1000*1000/1000/1000/1000/1000/$P$12/$M$13/(A50/B50))(A50, A50,B50)</f>
      </c>
      <c r="O50" s="11">
        <f>_xlfn.LAMBDA(b, m,n,k, 2*b*m*n*k*1000*1000/$P$14/1024/1024/1024/1024/$K$9)($S$3,B50, 128, $S$7)</f>
      </c>
      <c r="P50" s="11">
        <f>_xlfn.LAMBDA(m,n,k, 2*m*n*k*1000*1000/$P$9/1024/1024/1024/1024/$K$9)(B50, $S$3*128/$H$10, $S$2)</f>
      </c>
      <c r="Q50" s="11">
        <v>2000</v>
      </c>
      <c r="R50" s="11">
        <f>_xlfn.LAMBDA(tp_size, hidden_size, batch_size, 2*batch_size*(tp_size-1)/tp_size*hidden_size*1000*1000/$P$11/1024/1024/1024/$K$13)($H$10, $S$2,B50)</f>
      </c>
      <c r="S50" s="11">
        <f>_xlfn.LAMBDA(m,n,k, 2*m*n*k*1000*1000/$P$9/1024/1024/1024/1024/$K$10)(B50*$U$2/$H$12,$S$8*2,$S$2)</f>
      </c>
      <c r="T50" s="11">
        <f>_xlfn.LAMBDA(m,n,k, 2*m*n*k*1000*1000/$P$9/1024/1024/1024/1024/$K$10)(B50*$U$2/$H$12,$S$2,$S$8)</f>
      </c>
      <c r="U50" s="11">
        <v>0</v>
      </c>
      <c r="V50" s="11">
        <f>CEILING($S$9/$H$11)*SUM(F50:U50)/1000</f>
      </c>
      <c r="W50" s="11">
        <f>CEILING(A50/B50)*V50+($H$11-1)*V50</f>
      </c>
      <c r="X50" s="11">
        <v>0.8</v>
      </c>
      <c r="Y50" s="11">
        <f>B50/(V50/1000)*X50/$H$9/(1-$E$7)</f>
      </c>
      <c r="Z50" s="11">
        <f>1000000*$P$15/24/60/60/Y50</f>
      </c>
      <c r="AA50" s="11">
        <f>Z50*$E$6</f>
      </c>
      <c r="AB50" s="11"/>
      <c r="AC50" s="11"/>
      <c r="AD50" s="2"/>
      <c r="AE50" s="2"/>
      <c r="AF50" s="2"/>
      <c r="AG50" s="2"/>
      <c r="AH50" s="2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</row>
    <row r="51">
      <c r="A51" s="1">
        <f>32*1024</f>
      </c>
      <c r="B51" s="1">
        <v>1024</v>
      </c>
      <c r="C51" s="1"/>
      <c r="D51" s="1"/>
      <c r="E51" s="1">
        <f>B51*$H$10</f>
      </c>
      <c r="F51" s="12">
        <f>_xlfn.LAMBDA(m,n,k, 2*m*n*k*1000*1000/$P$2/1024/1024/1024/1024/$K$9)(B51,$S$10,$S$2)</f>
      </c>
      <c r="G51" s="12">
        <f>_xlfn.LAMBDA(m,n,k, 2*m*n*k*1000*1000/$P$9/1024/1024/1024/1024/$K$9)(B51, $S$3*(128+64)/$H$10, $S$10)</f>
      </c>
      <c r="H51" s="13">
        <f>_xlfn.LAMBDA(m,n,k, 2*m*n*k*1000*1000/$P$9/1024/1024/1024/1024/$K$9)(B51,$S$11*$S$12,$S$10)</f>
      </c>
      <c r="I51" s="11">
        <f>_xlfn.LAMBDA(m,n,k, 2*m*n*k*1000*1000/$P$9/1024/1024/1024/1024/$K$9)(B51,$S$11,$S$2)</f>
      </c>
      <c r="J51" s="11">
        <f>_xlfn.LAMBDA(m,n,k, 2*m*n*k*1000*1000/$P$14/1024/1024/1024/1024/$K$9)(B51,$S$12,$S$2)</f>
      </c>
      <c r="K51" s="11">
        <f>_xlfn.LAMBDA(seq_len, q_len, bs, 2*seq_len*seq_len/2*($S$12*$S$11/$P$12 + $S$12/$P$14)*1000*1000/1024/1024/1024/1024/$M$13/(seq_len/B51))(A51,$E$3,B51)</f>
      </c>
      <c r="L51" s="11">
        <f>_xlfn.LAMBDA(m,n,k, 2*m*n*k*1000*1000/$P$9/1024/1024/1024/1024/$K$9)(B51,$S$6,$S$2)</f>
      </c>
      <c r="M51" s="11">
        <f>_xlfn.LAMBDA(b, m,n,k, 2*b*m*n*k*1000*1000/$P$14/1024/1024/1024/1024/$K$9)($S$3, B51, 128, $S$7)</f>
      </c>
      <c r="N51" s="11">
        <f>_xlfn.LAMBDA(seq_len, q_len, bs, (MAX(seq_len - 2048, 0) + seq_len) * 2048 / 2 * 1.8*2*$S$3/$H$10*($S$6 + $S$7)*1000*1000/1000/1000/1000/1000/$P$12/$M$13/(A51/B51))(A51, A51,B51)</f>
      </c>
      <c r="O51" s="11">
        <f>_xlfn.LAMBDA(b, m,n,k, 2*b*m*n*k*1000*1000/$P$14/1024/1024/1024/1024/$K$9)($S$3,B51, 128, $S$7)</f>
      </c>
      <c r="P51" s="11">
        <f>_xlfn.LAMBDA(m,n,k, 2*m*n*k*1000*1000/$P$9/1024/1024/1024/1024/$K$9)(B51, $S$3*128/$H$10, $S$2)</f>
      </c>
      <c r="Q51" s="11">
        <v>2000</v>
      </c>
      <c r="R51" s="11">
        <f>_xlfn.LAMBDA(tp_size, hidden_size, batch_size, 2*batch_size*(tp_size-1)/tp_size*hidden_size*1000*1000/$P$11/1024/1024/1024/$K$13)($H$10, $S$2,B51)</f>
      </c>
      <c r="S51" s="11">
        <f>_xlfn.LAMBDA(m,n,k, 2*m*n*k*1000*1000/$P$9/1024/1024/1024/1024/$K$10)(B51*$U$2/$H$12,$S$8*2,$S$2)</f>
      </c>
      <c r="T51" s="11">
        <f>_xlfn.LAMBDA(m,n,k, 2*m*n*k*1000*1000/$P$9/1024/1024/1024/1024/$K$10)(B51*$U$2/$H$12,$S$2,$S$8)</f>
      </c>
      <c r="U51" s="11">
        <v>0</v>
      </c>
      <c r="V51" s="11">
        <f>CEILING($S$9/$H$11)*SUM(F51:U51)/1000</f>
      </c>
      <c r="W51" s="11">
        <f>CEILING(A51/B51)*V51+($H$11-1)*V51</f>
      </c>
      <c r="X51" s="11">
        <v>0.8</v>
      </c>
      <c r="Y51" s="11">
        <f>B51/(V51/1000)*X51/$H$9/(1-$E$7)</f>
      </c>
      <c r="Z51" s="11">
        <f>1000000*$P$15/24/60/60/Y51</f>
      </c>
      <c r="AA51" s="11">
        <f>Z51*$E$6</f>
      </c>
      <c r="AB51" s="11"/>
      <c r="AC51" s="11"/>
      <c r="AD51" s="2"/>
      <c r="AE51" s="2"/>
      <c r="AF51" s="2"/>
      <c r="AG51" s="2"/>
      <c r="AH51" s="2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>
      <c r="A52" s="1">
        <f>50*1024</f>
      </c>
      <c r="B52" s="1">
        <v>1024</v>
      </c>
      <c r="C52" s="1"/>
      <c r="D52" s="1"/>
      <c r="E52" s="1">
        <f>B52*$H$10</f>
      </c>
      <c r="F52" s="12">
        <f>_xlfn.LAMBDA(m,n,k, 2*m*n*k*1000*1000/$P$2/1024/1024/1024/1024/$K$9)(B52,$S$10,$S$2)</f>
      </c>
      <c r="G52" s="12">
        <f>_xlfn.LAMBDA(m,n,k, 2*m*n*k*1000*1000/$P$9/1024/1024/1024/1024/$K$9)(B52, $S$3*(128+64)/$H$10, $S$10)</f>
      </c>
      <c r="H52" s="13">
        <f>_xlfn.LAMBDA(m,n,k, 2*m*n*k*1000*1000/$P$9/1024/1024/1024/1024/$K$9)(B52,$S$11*$S$12,$S$10)</f>
      </c>
      <c r="I52" s="11">
        <f>_xlfn.LAMBDA(m,n,k, 2*m*n*k*1000*1000/$P$9/1024/1024/1024/1024/$K$9)(B52,$S$11,$S$2)</f>
      </c>
      <c r="J52" s="11">
        <f>_xlfn.LAMBDA(m,n,k, 2*m*n*k*1000*1000/$P$14/1024/1024/1024/1024/$K$9)(B52,$S$12,$S$2)</f>
      </c>
      <c r="K52" s="11">
        <f>_xlfn.LAMBDA(seq_len, q_len, bs, 2*seq_len*seq_len/2*($S$12*$S$11/$P$12 + $S$12/$P$14)*1000*1000/1024/1024/1024/1024/$M$13/(seq_len/B52))(A52,$E$3,B52)</f>
      </c>
      <c r="L52" s="11">
        <f>_xlfn.LAMBDA(m,n,k, 2*m*n*k*1000*1000/$P$9/1024/1024/1024/1024/$K$9)(B52,$S$6,$S$2)</f>
      </c>
      <c r="M52" s="11">
        <f>_xlfn.LAMBDA(b, m,n,k, 2*b*m*n*k*1000*1000/$P$14/1024/1024/1024/1024/$K$9)($S$3, B52, 128, $S$7)</f>
      </c>
      <c r="N52" s="11">
        <f>_xlfn.LAMBDA(seq_len, q_len, bs, (MAX(seq_len - 2048, 0) + seq_len) * 2048 / 2 * 1.8*2*$S$3/$H$10*($S$6 + $S$7)*1000*1000/1000/1000/1000/1000/$P$12/$M$13/(A52/B52))(A52, A52,B52)</f>
      </c>
      <c r="O52" s="11">
        <f>_xlfn.LAMBDA(b, m,n,k, 2*b*m*n*k*1000*1000/$P$14/1024/1024/1024/1024/$K$9)($S$3,B52, 128, $S$7)</f>
      </c>
      <c r="P52" s="11">
        <f>_xlfn.LAMBDA(m,n,k, 2*m*n*k*1000*1000/$P$9/1024/1024/1024/1024/$K$9)(B52, $S$3*128/$H$10, $S$2)</f>
      </c>
      <c r="Q52" s="11">
        <v>2000</v>
      </c>
      <c r="R52" s="11">
        <f>_xlfn.LAMBDA(tp_size, hidden_size, batch_size, 2*batch_size*(tp_size-1)/tp_size*hidden_size*1000*1000/$P$11/1024/1024/1024/$K$13)($H$10, $S$2,B52)</f>
      </c>
      <c r="S52" s="11">
        <f>_xlfn.LAMBDA(m,n,k, 2*m*n*k*1000*1000/$P$9/1024/1024/1024/1024/$K$10)(B52*$U$2/$H$12,$S$8*2,$S$2)</f>
      </c>
      <c r="T52" s="11">
        <f>_xlfn.LAMBDA(m,n,k, 2*m*n*k*1000*1000/$P$9/1024/1024/1024/1024/$K$10)(B52*$U$2/$H$12,$S$2,$S$8)</f>
      </c>
      <c r="U52" s="11">
        <v>0</v>
      </c>
      <c r="V52" s="11">
        <f>CEILING($S$9/$H$11)*SUM(F52:U52)/1000</f>
      </c>
      <c r="W52" s="11">
        <f>CEILING(A52/B52)*V52+($H$11-1)*V52</f>
      </c>
      <c r="X52" s="11">
        <v>0.8</v>
      </c>
      <c r="Y52" s="11">
        <f>B52/(V52/1000)*X52/$H$9/(1-$E$7)</f>
      </c>
      <c r="Z52" s="11">
        <f>1000000*$P$15/24/60/60/Y52</f>
      </c>
      <c r="AA52" s="11">
        <f>Z52*$E$6</f>
      </c>
      <c r="AB52" s="11"/>
      <c r="AC52" s="11"/>
      <c r="AD52" s="2"/>
      <c r="AE52" s="2"/>
      <c r="AF52" s="2"/>
      <c r="AG52" s="2"/>
      <c r="AH52" s="2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>
      <c r="A53" s="1">
        <f>64*1024</f>
      </c>
      <c r="B53" s="1">
        <v>1024</v>
      </c>
      <c r="C53" s="1"/>
      <c r="D53" s="1"/>
      <c r="E53" s="1">
        <f>B53*$H$10</f>
      </c>
      <c r="F53" s="12">
        <f>_xlfn.LAMBDA(m,n,k, 2*m*n*k*1000*1000/$P$2/1024/1024/1024/1024/$K$9)(B53,$S$10,$S$2)</f>
      </c>
      <c r="G53" s="12">
        <f>_xlfn.LAMBDA(m,n,k, 2*m*n*k*1000*1000/$P$9/1024/1024/1024/1024/$K$9)(B53, $S$3*(128+64)/$H$10, $S$10)</f>
      </c>
      <c r="H53" s="13">
        <f>_xlfn.LAMBDA(m,n,k, 2*m*n*k*1000*1000/$P$9/1024/1024/1024/1024/$K$9)(B53,$S$11*$S$12,$S$10)</f>
      </c>
      <c r="I53" s="11">
        <f>_xlfn.LAMBDA(m,n,k, 2*m*n*k*1000*1000/$P$9/1024/1024/1024/1024/$K$9)(B53,$S$11,$S$2)</f>
      </c>
      <c r="J53" s="11">
        <f>_xlfn.LAMBDA(m,n,k, 2*m*n*k*1000*1000/$P$14/1024/1024/1024/1024/$K$9)(B53,$S$12,$S$2)</f>
      </c>
      <c r="K53" s="11">
        <f>_xlfn.LAMBDA(seq_len, q_len, bs, 2*seq_len*seq_len/2*($S$12*$S$11/$P$12 + $S$12/$P$14)*1000*1000/1024/1024/1024/1024/$M$13/(seq_len/B53))(A53,$E$3,B53)</f>
      </c>
      <c r="L53" s="11">
        <f>_xlfn.LAMBDA(m,n,k, 2*m*n*k*1000*1000/$P$9/1024/1024/1024/1024/$K$9)(B53,$S$6,$S$2)</f>
      </c>
      <c r="M53" s="11">
        <f>_xlfn.LAMBDA(b, m,n,k, 2*b*m*n*k*1000*1000/$P$14/1024/1024/1024/1024/$K$9)($S$3, B53, 128, $S$7)</f>
      </c>
      <c r="N53" s="11">
        <f>_xlfn.LAMBDA(seq_len, q_len, bs, (MAX(seq_len - 2048, 0) + seq_len) * 2048 / 2 * 1.8*2*$S$3/$H$10*($S$6 + $S$7)*1000*1000/1000/1000/1000/1000/$P$12/$M$13/(A53/B53))(A53, A53,B53)</f>
      </c>
      <c r="O53" s="11">
        <f>_xlfn.LAMBDA(b, m,n,k, 2*b*m*n*k*1000*1000/$P$14/1024/1024/1024/1024/$K$9)($S$3,B53, 128, $S$7)</f>
      </c>
      <c r="P53" s="11">
        <f>_xlfn.LAMBDA(m,n,k, 2*m*n*k*1000*1000/$P$9/1024/1024/1024/1024/$K$9)(B53, $S$3*128/$H$10, $S$2)</f>
      </c>
      <c r="Q53" s="11">
        <v>2000</v>
      </c>
      <c r="R53" s="11">
        <f>_xlfn.LAMBDA(tp_size, hidden_size, batch_size, 2*batch_size*(tp_size-1)/tp_size*hidden_size*1000*1000/$P$11/1024/1024/1024/$K$13)($H$10, $S$2,B53)</f>
      </c>
      <c r="S53" s="11">
        <f>_xlfn.LAMBDA(m,n,k, 2*m*n*k*1000*1000/$P$9/1024/1024/1024/1024/$K$10)(B53*$U$2/$H$12,$S$8*2,$S$2)</f>
      </c>
      <c r="T53" s="11">
        <f>_xlfn.LAMBDA(m,n,k, 2*m*n*k*1000*1000/$P$9/1024/1024/1024/1024/$K$10)(B53*$U$2/$H$12,$S$2,$S$8)</f>
      </c>
      <c r="U53" s="11">
        <v>0</v>
      </c>
      <c r="V53" s="11">
        <f>CEILING($S$9/$H$11)*SUM(F53:U53)/1000</f>
      </c>
      <c r="W53" s="11">
        <f>CEILING(A53/B53)*V53+($H$11-1)*V53</f>
      </c>
      <c r="X53" s="11">
        <v>0.8</v>
      </c>
      <c r="Y53" s="11">
        <f>B53/(V53/1000)*X53/$H$9/(1-$E$7)</f>
      </c>
      <c r="Z53" s="11">
        <f>1000000*$P$15/24/60/60/Y53</f>
      </c>
      <c r="AA53" s="11">
        <f>Z53*$E$6</f>
      </c>
      <c r="AB53" s="11"/>
      <c r="AC53" s="11"/>
      <c r="AD53" s="2"/>
      <c r="AE53" s="2"/>
      <c r="AF53" s="2"/>
      <c r="AG53" s="2"/>
      <c r="AH53" s="2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>
      <c r="A54" s="1">
        <f>96*1024</f>
      </c>
      <c r="B54" s="1">
        <v>1024</v>
      </c>
      <c r="C54" s="1"/>
      <c r="D54" s="1"/>
      <c r="E54" s="1">
        <f>B54*$H$10</f>
      </c>
      <c r="F54" s="12">
        <f>_xlfn.LAMBDA(m,n,k, 2*m*n*k*1000*1000/$P$2/1024/1024/1024/1024/$K$9)(B54,$S$10,$S$2)</f>
      </c>
      <c r="G54" s="12">
        <f>_xlfn.LAMBDA(m,n,k, 2*m*n*k*1000*1000/$P$9/1024/1024/1024/1024/$K$9)(B54, $S$3*(128+64)/$H$10, $S$10)</f>
      </c>
      <c r="H54" s="13">
        <f>_xlfn.LAMBDA(m,n,k, 2*m*n*k*1000*1000/$P$9/1024/1024/1024/1024/$K$9)(B54,$S$11*$S$12,$S$10)</f>
      </c>
      <c r="I54" s="11">
        <f>_xlfn.LAMBDA(m,n,k, 2*m*n*k*1000*1000/$P$9/1024/1024/1024/1024/$K$9)(B54,$S$11,$S$2)</f>
      </c>
      <c r="J54" s="11">
        <f>_xlfn.LAMBDA(m,n,k, 2*m*n*k*1000*1000/$P$14/1024/1024/1024/1024/$K$9)(B54,$S$12,$S$2)</f>
      </c>
      <c r="K54" s="11">
        <f>_xlfn.LAMBDA(seq_len, q_len, bs, 2*seq_len*seq_len/2*($S$12*$S$11/$P$12 + $S$12/$P$14)*1000*1000/1024/1024/1024/1024/$M$13/(seq_len/B54))(A54,$E$3,B54)</f>
      </c>
      <c r="L54" s="11">
        <f>_xlfn.LAMBDA(m,n,k, 2*m*n*k*1000*1000/$P$9/1024/1024/1024/1024/$K$9)(B54,$S$6,$S$2)</f>
      </c>
      <c r="M54" s="11">
        <f>_xlfn.LAMBDA(b, m,n,k, 2*b*m*n*k*1000*1000/$P$14/1024/1024/1024/1024/$K$9)($S$3, B54, 128, $S$7)</f>
      </c>
      <c r="N54" s="11">
        <f>_xlfn.LAMBDA(seq_len, q_len, bs, (MAX(seq_len - 2048, 0) + seq_len) * 2048 / 2 * 1.8*2*$S$3/$H$10*($S$6 + $S$7)*1000*1000/1000/1000/1000/1000/$P$12/$M$13/(A54/B54))(A54, A54,B54)</f>
      </c>
      <c r="O54" s="11">
        <f>_xlfn.LAMBDA(b, m,n,k, 2*b*m*n*k*1000*1000/$P$14/1024/1024/1024/1024/$K$9)($S$3,B54, 128, $S$7)</f>
      </c>
      <c r="P54" s="11">
        <f>_xlfn.LAMBDA(m,n,k, 2*m*n*k*1000*1000/$P$9/1024/1024/1024/1024/$K$9)(B54, $S$3*128/$H$10, $S$2)</f>
      </c>
      <c r="Q54" s="11">
        <v>2000</v>
      </c>
      <c r="R54" s="11">
        <f>_xlfn.LAMBDA(tp_size, hidden_size, batch_size, 2*batch_size*(tp_size-1)/tp_size*hidden_size*1000*1000/$P$11/1024/1024/1024/$K$13)($H$10, $S$2,B54)</f>
      </c>
      <c r="S54" s="11">
        <f>_xlfn.LAMBDA(m,n,k, 2*m*n*k*1000*1000/$P$9/1024/1024/1024/1024/$K$10)(B54*$U$2/$H$12,$S$8*2,$S$2)</f>
      </c>
      <c r="T54" s="11">
        <f>_xlfn.LAMBDA(m,n,k, 2*m*n*k*1000*1000/$P$9/1024/1024/1024/1024/$K$10)(B54*$U$2/$H$12,$S$2,$S$8)</f>
      </c>
      <c r="U54" s="11">
        <v>0</v>
      </c>
      <c r="V54" s="11">
        <f>CEILING($S$9/$H$11)*SUM(F54:U54)/1000</f>
      </c>
      <c r="W54" s="11">
        <f>CEILING(A54/B54)*V54+($H$11-1)*V54</f>
      </c>
      <c r="X54" s="11">
        <v>0.8</v>
      </c>
      <c r="Y54" s="11">
        <f>B54/(V54/1000)*X54/$H$9/(1-$E$7)</f>
      </c>
      <c r="Z54" s="11">
        <f>1000000*$P$15/24/60/60/Y54</f>
      </c>
      <c r="AA54" s="11">
        <f>Z54*$E$6</f>
      </c>
      <c r="AB54" s="11"/>
      <c r="AC54" s="11"/>
      <c r="AD54" s="2"/>
      <c r="AE54" s="2"/>
      <c r="AF54" s="2"/>
      <c r="AG54" s="2"/>
      <c r="AH54" s="2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>
      <c r="A55" s="1">
        <f>128*1024</f>
      </c>
      <c r="B55" s="1">
        <v>1024</v>
      </c>
      <c r="C55" s="1"/>
      <c r="D55" s="1"/>
      <c r="E55" s="1">
        <f>B55*$H$10</f>
      </c>
      <c r="F55" s="12">
        <f>_xlfn.LAMBDA(m,n,k, 2*m*n*k*1000*1000/$P$2/1024/1024/1024/1024/$K$9)(B55,$S$10,$S$2)</f>
      </c>
      <c r="G55" s="12">
        <f>_xlfn.LAMBDA(m,n,k, 2*m*n*k*1000*1000/$P$9/1024/1024/1024/1024/$K$9)(B55, $S$3*(128+64)/$H$10, $S$10)</f>
      </c>
      <c r="H55" s="13">
        <f>_xlfn.LAMBDA(m,n,k, 2*m*n*k*1000*1000/$P$9/1024/1024/1024/1024/$K$9)(B55,$S$11*$S$12,$S$10)</f>
      </c>
      <c r="I55" s="11">
        <f>_xlfn.LAMBDA(m,n,k, 2*m*n*k*1000*1000/$P$9/1024/1024/1024/1024/$K$9)(B55,$S$11,$S$2)</f>
      </c>
      <c r="J55" s="11">
        <f>_xlfn.LAMBDA(m,n,k, 2*m*n*k*1000*1000/$P$14/1024/1024/1024/1024/$K$9)(B55,$S$12,$S$2)</f>
      </c>
      <c r="K55" s="11">
        <f>_xlfn.LAMBDA(seq_len, q_len, bs, 2*seq_len*seq_len/2*($S$12*$S$11/$P$12 + $S$12/$P$14)*1000*1000/1024/1024/1024/1024/$M$13/(seq_len/B55))(A55,$E$3,B55)</f>
      </c>
      <c r="L55" s="11">
        <f>_xlfn.LAMBDA(m,n,k, 2*m*n*k*1000*1000/$P$9/1024/1024/1024/1024/$K$9)(B55,$S$6,$S$2)</f>
      </c>
      <c r="M55" s="11">
        <f>_xlfn.LAMBDA(b, m,n,k, 2*b*m*n*k*1000*1000/$P$14/1024/1024/1024/1024/$K$9)($S$3, B55, 128, $S$7)</f>
      </c>
      <c r="N55" s="11">
        <f>_xlfn.LAMBDA(seq_len, q_len, bs, (MAX(seq_len - 2048, 0) + seq_len) * 2048 / 2 * 1.8*2*$S$3/$H$10*($S$6 + $S$7)*1000*1000/1000/1000/1000/1000/$P$12/$M$13/(A55/B55))(A55, A55,B55)</f>
      </c>
      <c r="O55" s="11">
        <f>_xlfn.LAMBDA(b, m,n,k, 2*b*m*n*k*1000*1000/$P$14/1024/1024/1024/1024/$K$9)($S$3,B55, 128, $S$7)</f>
      </c>
      <c r="P55" s="11">
        <f>_xlfn.LAMBDA(m,n,k, 2*m*n*k*1000*1000/$P$9/1024/1024/1024/1024/$K$9)(B55, $S$3*128/$H$10, $S$2)</f>
      </c>
      <c r="Q55" s="11">
        <v>2000</v>
      </c>
      <c r="R55" s="11">
        <f>_xlfn.LAMBDA(tp_size, hidden_size, batch_size, 2*batch_size*(tp_size-1)/tp_size*hidden_size*1000*1000/$P$11/1024/1024/1024/$K$13)($H$10, $S$2,B55)</f>
      </c>
      <c r="S55" s="11">
        <f>_xlfn.LAMBDA(m,n,k, 2*m*n*k*1000*1000/$P$9/1024/1024/1024/1024/$K$10)(B55*$U$2/$H$12,$S$8*2,$S$2)</f>
      </c>
      <c r="T55" s="11">
        <f>_xlfn.LAMBDA(m,n,k, 2*m*n*k*1000*1000/$P$9/1024/1024/1024/1024/$K$10)(B55*$U$2/$H$12,$S$2,$S$8)</f>
      </c>
      <c r="U55" s="11">
        <v>0</v>
      </c>
      <c r="V55" s="11">
        <f>CEILING($S$9/$H$11)*SUM(F55:U55)/1000</f>
      </c>
      <c r="W55" s="11">
        <f>CEILING(A55/B55)*V55+($H$11-1)*V55</f>
      </c>
      <c r="X55" s="11">
        <v>0.8</v>
      </c>
      <c r="Y55" s="11">
        <f>B55/(V55/1000)*X55/$H$9/(1-$E$7)</f>
      </c>
      <c r="Z55" s="11">
        <f>1000000*$P$15/24/60/60/Y55</f>
      </c>
      <c r="AA55" s="11">
        <f>Z55*$E$6</f>
      </c>
      <c r="AB55" s="11"/>
      <c r="AC55" s="11"/>
      <c r="AD55" s="2"/>
      <c r="AE55" s="2"/>
      <c r="AF55" s="2"/>
      <c r="AG55" s="2"/>
      <c r="AH55" s="2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>
      <c r="A56" s="1">
        <f>192*1024</f>
      </c>
      <c r="B56" s="1">
        <v>1024</v>
      </c>
      <c r="C56" s="1"/>
      <c r="D56" s="1"/>
      <c r="E56" s="1">
        <f>B56*$H$10</f>
      </c>
      <c r="F56" s="12">
        <f>_xlfn.LAMBDA(m,n,k, 2*m*n*k*1000*1000/$P$2/1024/1024/1024/1024/$K$9)(B56,$S$10,$S$2)</f>
      </c>
      <c r="G56" s="12">
        <f>_xlfn.LAMBDA(m,n,k, 2*m*n*k*1000*1000/$P$9/1024/1024/1024/1024/$K$9)(B56, $S$3*(128+64)/$H$10, $S$10)</f>
      </c>
      <c r="H56" s="13">
        <f>_xlfn.LAMBDA(m,n,k, 2*m*n*k*1000*1000/$P$9/1024/1024/1024/1024/$K$9)(B56,$S$11*$S$12,$S$10)</f>
      </c>
      <c r="I56" s="11">
        <f>_xlfn.LAMBDA(m,n,k, 2*m*n*k*1000*1000/$P$9/1024/1024/1024/1024/$K$9)(B56,$S$11,$S$2)</f>
      </c>
      <c r="J56" s="11">
        <f>_xlfn.LAMBDA(m,n,k, 2*m*n*k*1000*1000/$P$14/1024/1024/1024/1024/$K$9)(B56,$S$12,$S$2)</f>
      </c>
      <c r="K56" s="11">
        <f>_xlfn.LAMBDA(seq_len, q_len, bs, 2*seq_len*seq_len/2*($S$12*$S$11/$P$12 + $S$12/$P$14)*1000*1000/1024/1024/1024/1024/$M$13/(seq_len/B56))(A56,$E$3,B56)</f>
      </c>
      <c r="L56" s="11">
        <f>_xlfn.LAMBDA(m,n,k, 2*m*n*k*1000*1000/$P$9/1024/1024/1024/1024/$K$9)(B56,$S$6,$S$2)</f>
      </c>
      <c r="M56" s="11">
        <f>_xlfn.LAMBDA(b, m,n,k, 2*b*m*n*k*1000*1000/$P$14/1024/1024/1024/1024/$K$9)($S$3, B56, 128, $S$7)</f>
      </c>
      <c r="N56" s="11">
        <f>_xlfn.LAMBDA(seq_len, q_len, bs, (MAX(seq_len - 2048, 0) + seq_len) * 2048 / 2 * 1.8*2*$S$3/$H$10*($S$6 + $S$7)*1000*1000/1000/1000/1000/1000/$P$12/$M$13/(A56/B56))(A56, A56,B56)</f>
      </c>
      <c r="O56" s="11">
        <f>_xlfn.LAMBDA(b, m,n,k, 2*b*m*n*k*1000*1000/$P$14/1024/1024/1024/1024/$K$9)($S$3,B56, 128, $S$7)</f>
      </c>
      <c r="P56" s="11">
        <f>_xlfn.LAMBDA(m,n,k, 2*m*n*k*1000*1000/$P$9/1024/1024/1024/1024/$K$9)(B56, $S$3*128/$H$10, $S$2)</f>
      </c>
      <c r="Q56" s="11">
        <v>2000</v>
      </c>
      <c r="R56" s="11">
        <f>_xlfn.LAMBDA(tp_size, hidden_size, batch_size, 2*batch_size*(tp_size-1)/tp_size*hidden_size*1000*1000/$P$11/1024/1024/1024/$K$13)($H$10, $S$2,B56)</f>
      </c>
      <c r="S56" s="11">
        <f>_xlfn.LAMBDA(m,n,k, 2*m*n*k*1000*1000/$P$9/1024/1024/1024/1024/$K$10)(B56*$U$2/$H$12,$S$8*2,$S$2)</f>
      </c>
      <c r="T56" s="11">
        <f>_xlfn.LAMBDA(m,n,k, 2*m*n*k*1000*1000/$P$9/1024/1024/1024/1024/$K$10)(B56*$U$2/$H$12,$S$2,$S$8)</f>
      </c>
      <c r="U56" s="11">
        <v>0</v>
      </c>
      <c r="V56" s="11">
        <f>CEILING($S$9/$H$11)*SUM(F56:U56)/1000</f>
      </c>
      <c r="W56" s="11">
        <f>CEILING(A56/B56)*V56+($H$11-1)*V56</f>
      </c>
      <c r="X56" s="11">
        <v>0.8</v>
      </c>
      <c r="Y56" s="11">
        <f>B56/(V56/1000)*X56/$H$9/(1-$E$7)</f>
      </c>
      <c r="Z56" s="11">
        <f>1000000*$P$15/24/60/60/Y56</f>
      </c>
      <c r="AA56" s="11">
        <f>Z56*$E$6</f>
      </c>
      <c r="AB56" s="11"/>
      <c r="AC56" s="11"/>
      <c r="AD56" s="2"/>
      <c r="AE56" s="2"/>
      <c r="AF56" s="2"/>
      <c r="AG56" s="2"/>
      <c r="AH56" s="2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>
      <c r="A57" s="1">
        <f>256*1024</f>
      </c>
      <c r="B57" s="1">
        <v>1024</v>
      </c>
      <c r="C57" s="1"/>
      <c r="D57" s="1"/>
      <c r="E57" s="1">
        <f>B57*$H$10</f>
      </c>
      <c r="F57" s="12">
        <f>_xlfn.LAMBDA(m,n,k, 2*m*n*k*1000*1000/$P$2/1024/1024/1024/1024/$K$9)(B57,$S$10,$S$2)</f>
      </c>
      <c r="G57" s="12">
        <f>_xlfn.LAMBDA(m,n,k, 2*m*n*k*1000*1000/$P$9/1024/1024/1024/1024/$K$9)(B57, $S$3*(128+64)/$H$10, $S$10)</f>
      </c>
      <c r="H57" s="13">
        <f>_xlfn.LAMBDA(m,n,k, 2*m*n*k*1000*1000/$P$9/1024/1024/1024/1024/$K$9)(B57,$S$11*$S$12,$S$10)</f>
      </c>
      <c r="I57" s="11">
        <f>_xlfn.LAMBDA(m,n,k, 2*m*n*k*1000*1000/$P$9/1024/1024/1024/1024/$K$9)(B57,$S$11,$S$2)</f>
      </c>
      <c r="J57" s="11">
        <f>_xlfn.LAMBDA(m,n,k, 2*m*n*k*1000*1000/$P$14/1024/1024/1024/1024/$K$9)(B57,$S$12,$S$2)</f>
      </c>
      <c r="K57" s="11">
        <f>_xlfn.LAMBDA(seq_len, q_len, bs, 2*seq_len*seq_len/2*($S$12*$S$11/$P$12 + $S$12/$P$14)*1000*1000/1024/1024/1024/1024/$M$13/(seq_len/B57))(A57,$E$3,B57)</f>
      </c>
      <c r="L57" s="11">
        <f>_xlfn.LAMBDA(m,n,k, 2*m*n*k*1000*1000/$P$9/1024/1024/1024/1024/$K$9)(B57,$S$6,$S$2)</f>
      </c>
      <c r="M57" s="11">
        <f>_xlfn.LAMBDA(b, m,n,k, 2*b*m*n*k*1000*1000/$P$14/1024/1024/1024/1024/$K$9)($S$3, B57, 128, $S$7)</f>
      </c>
      <c r="N57" s="11">
        <f>_xlfn.LAMBDA(seq_len, q_len, bs, (MAX(seq_len - 2048, 0) + seq_len) * 2048 / 2 * 1.8*2*$S$3/$H$10*($S$6 + $S$7)*1000*1000/1000/1000/1000/1000/$P$12/$M$13/(A57/B57))(A57, A57,B57)</f>
      </c>
      <c r="O57" s="11">
        <f>_xlfn.LAMBDA(b, m,n,k, 2*b*m*n*k*1000*1000/$P$14/1024/1024/1024/1024/$K$9)($S$3,B57, 128, $S$7)</f>
      </c>
      <c r="P57" s="11">
        <f>_xlfn.LAMBDA(m,n,k, 2*m*n*k*1000*1000/$P$9/1024/1024/1024/1024/$K$9)(B57, $S$3*128/$H$10, $S$2)</f>
      </c>
      <c r="Q57" s="11">
        <v>2000</v>
      </c>
      <c r="R57" s="11">
        <f>_xlfn.LAMBDA(tp_size, hidden_size, batch_size, 2*batch_size*(tp_size-1)/tp_size*hidden_size*1000*1000/$P$11/1024/1024/1024/$K$13)($H$10, $S$2,B57)</f>
      </c>
      <c r="S57" s="11">
        <f>_xlfn.LAMBDA(m,n,k, 2*m*n*k*1000*1000/$P$9/1024/1024/1024/1024/$K$10)(B57*$U$2/$H$12,$S$8*2,$S$2)</f>
      </c>
      <c r="T57" s="11">
        <f>_xlfn.LAMBDA(m,n,k, 2*m*n*k*1000*1000/$P$9/1024/1024/1024/1024/$K$10)(B57*$U$2/$H$12,$S$2,$S$8)</f>
      </c>
      <c r="U57" s="11">
        <v>0</v>
      </c>
      <c r="V57" s="11">
        <f>CEILING($S$9/$H$11)*SUM(F57:U57)/1000</f>
      </c>
      <c r="W57" s="11">
        <f>CEILING(A57/B57)*V57+($H$11-1)*V57</f>
      </c>
      <c r="X57" s="11">
        <v>0.8</v>
      </c>
      <c r="Y57" s="11">
        <f>B57/(V57/1000)*X57/$H$9/(1-$E$7)</f>
      </c>
      <c r="Z57" s="11">
        <f>1000000*$P$15/24/60/60/Y57</f>
      </c>
      <c r="AA57" s="11">
        <f>Z57*$E$6</f>
      </c>
      <c r="AB57" s="11"/>
      <c r="AC57" s="11"/>
      <c r="AD57" s="2"/>
      <c r="AE57" s="2"/>
      <c r="AF57" s="2"/>
      <c r="AG57" s="2"/>
      <c r="AH57" s="2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>
      <c r="A58" s="2"/>
      <c r="B58" s="2"/>
      <c r="C58" s="2"/>
      <c r="D58" s="2"/>
      <c r="E58" s="2"/>
      <c r="F58" s="2"/>
      <c r="G58" s="2"/>
      <c r="H58" s="1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</sheetData>
  <mergeCells>
    <mergeCell ref="A2:A8"/>
    <mergeCell ref="A1:L1"/>
    <mergeCell ref="F2:F8"/>
    <mergeCell ref="I2:I8"/>
    <mergeCell ref="N2:N8"/>
    <mergeCell ref="Q2:Q15"/>
    <mergeCell ref="F9:F15"/>
    <mergeCell ref="I9:I15"/>
    <mergeCell ref="N9:N15"/>
    <mergeCell ref="A19:BC19"/>
    <mergeCell ref="A40:AA40"/>
  </mergeCells>
  <dataValidations count="4">
    <dataValidation allowBlank="true" errorStyle="stop" showErrorMessage="true" sqref="H2 H9" type="list">
      <formula1>"8,16,32,64"</formula1>
    </dataValidation>
    <dataValidation allowBlank="true" errorStyle="stop" showErrorMessage="true" sqref="E2" type="list">
      <formula1>"10240,5120,2048"</formula1>
    </dataValidation>
    <dataValidation allowBlank="true" errorStyle="stop" showErrorMessage="true" sqref="H10" type="list">
      <formula1>"1,2,4,8"</formula1>
    </dataValidation>
    <dataValidation allowBlank="true" errorStyle="stop" showErrorMessage="true" sqref="H3" type="list">
      <formula1>"1,2,4,8,16"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